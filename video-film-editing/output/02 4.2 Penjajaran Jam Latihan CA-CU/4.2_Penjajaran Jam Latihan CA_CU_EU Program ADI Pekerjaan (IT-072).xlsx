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yWindow="2240" windowWidth="21820" windowHeight="13900"/>
  </bookViews>
  <sheets>
    <sheet name="PENJAJARAN CU" sheetId="1" r:id="rId1"/>
  </sheets>
  <definedNames>
    <definedName name="_xlnm.Print_Area" localSheetId="0">'PENJAJARAN CU'!$A$1:$E$22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<sst xmlns="http://schemas.openxmlformats.org/spreadsheetml/2006/main" count="38" uniqueCount="38">
  <si>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 xml:space="preserve">PENJAJARAN JAM LATIHAN KOMPETENSI UNIT (CU) MENGIKUT ADi BAGI HOURS </t>
  </si>
  <si>
    <t>SEKTOR</t>
  </si>
  <si>
    <t>INFORMATION TECHNOLOGY &amp; COMMUNICATION (ICT)</t>
  </si>
  <si>
    <t>SUB-SEKTOR</t>
  </si>
  <si>
    <t>DIGITAL CREATIVE</t>
  </si>
  <si>
    <t>KOD / NOSS</t>
  </si>
  <si>
    <t>IT-072-3:2012 VIDEO / FILM (EDITING)</t>
  </si>
  <si>
    <t>TAHAP</t>
  </si>
  <si>
    <t>Jenis Program</t>
  </si>
  <si>
    <t>Mengikut Tahap (NOSS Bermula Tahap 3)</t>
  </si>
  <si>
    <t>Jumlah Jam Latihan ADI</t>
  </si>
  <si>
    <t>Jumlah Jam Latihan Teori</t>
  </si>
  <si>
    <t>KOD CU</t>
  </si>
  <si>
    <t>TITLE COMPETENCY UNIT (CU)</t>
  </si>
  <si>
    <t>JAM LATIHAN CA/CU/EU (ADi)</t>
  </si>
  <si>
    <t>Jumlah Hari Teori 
(Jam CA/CU/EU ÷ 8 Jam sehari)</t>
  </si>
  <si>
    <t>Pundaran Jumlah Hari Teori</t>
  </si>
  <si>
    <t>CA</t>
  </si>
  <si>
    <t>Core Abilities Tahap 1, 2 &amp; 3</t>
  </si>
  <si>
    <t>C01</t>
  </si>
  <si>
    <t>Visual Editing Project Analysis</t>
  </si>
  <si>
    <t>C02</t>
  </si>
  <si>
    <t>Visual Editing Preparation</t>
  </si>
  <si>
    <t>C03</t>
  </si>
  <si>
    <t>Offline Visual Editing</t>
  </si>
  <si>
    <t>C04</t>
  </si>
  <si>
    <t>Audio Sweetening</t>
  </si>
  <si>
    <t>C05</t>
  </si>
  <si>
    <t>Online Visual Editing</t>
  </si>
  <si>
    <t>JUMLAH</t>
  </si>
  <si>
    <t>RK = RELATED KNOWLEDGE / THEORY</t>
  </si>
  <si>
    <t>RS = RELATED SKILL / PRACTICAL</t>
  </si>
  <si>
    <t>1 Hari 8 Jam</t>
  </si>
  <si>
    <t xml:space="preserve">1Minggu 5 Hari = 5 x 8 Jam = 40 Jam </t>
  </si>
  <si>
    <t>1 bulan x 4 Minggu = 4 x 40 jam = 160 Jam</t>
  </si>
  <si>
    <t>1 bulan = 160 jam</t>
  </si>
  <si>
    <t>18 bulan x 160 jam = 2880 Jam</t>
  </si>
  <si>
    <t>Jumlah Jam Pengetahuan (20%) untuk kiraan CA/CU/EU = (2880 x 20%) = 576 Jam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</si>
</sst>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Aptos Narrow"/>
      <charset val="134"/>
      <scheme val="minor"/>
    </font>
    <font>
      <b/>
      <sz val="14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name val="Aptos Narrow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Aptos Narrow"/>
      <charset val="134"/>
    </font>
    <font>
      <sz val="16"/>
      <color rgb="FFFF0000"/>
      <name val="Aptos Narrow"/>
      <charset val="134"/>
      <scheme val="minor"/>
    </font>
    <font>
      <sz val="11"/>
      <color theme="1"/>
      <name val="Arial"/>
      <charset val="134"/>
    </font>
    <font>
      <sz val="12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981688894314"/>
        <bgColor rgb="FFDBE9F7"/>
      </patternFill>
    </fill>
    <fill>
      <patternFill patternType="solid">
        <fgColor rgb="FFD9D9D9"/>
        <bgColor rgb="FFD9D9D9"/>
      </patternFill>
    </fill>
    <fill>
      <patternFill patternType="solid">
        <fgColor rgb="FFFAE2D5"/>
        <bgColor rgb="FFFAE2D5"/>
      </patternFill>
    </fill>
    <fill>
      <patternFill patternType="solid">
        <fgColor rgb="FFFFC000"/>
        <bgColor rgb="FFFAE2D5"/>
      </patternFill>
    </fill>
    <fill>
      <patternFill patternType="solid">
        <fgColor rgb="FFFFC000"/>
        <bgColor rgb="FF8ED873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3" xfId="0" applyBorder="1"/>
    <xf numFmtId="0" fontId="4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1" fontId="4" fillId="0" borderId="7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1" fontId="6" fillId="0" borderId="7" xfId="0" applyNumberFormat="1" applyFont="1" applyBorder="1" applyAlignment="1">
      <alignment horizontal="center" vertical="top" wrapText="1"/>
    </xf>
    <xf numFmtId="0" fontId="7" fillId="7" borderId="8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8" fillId="8" borderId="0" xfId="0" applyFont="1" applyFill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001"/>
  <sheetViews>
    <sheetView tabSelected="1" zoomScale="111" zoomScaleNormal="111" zoomScaleSheetLayoutView="122" workbookViewId="0">
      <pane ySplit="9" topLeftCell="A10" activePane="bottomLeft" state="frozen"/>
      <selection/>
      <selection pane="bottomLeft" activeCell="C19" sqref="C19:E22"/>
    </sheetView>
  </sheetViews>
  <sheetFormatPr defaultColWidth="12.6666666666667" defaultRowHeight="15" customHeight="1" outlineLevelCol="4"/>
  <cols>
    <col min="1" max="2" width="60" customWidth="1"/>
    <col min="3" max="3" width="33" customWidth="1"/>
    <col min="4" max="4" width="50" customWidth="1"/>
    <col min="5" max="5" width="28" customWidth="1"/>
    <col min="6" max="21" width="8.66666666666667" customWidth="1"/>
  </cols>
  <sheetData>
    <row r="1" ht="14.25" customHeight="1" spans="1:5">
      <c r="A1" s="1" t="s">
        <v>0</v>
      </c>
      <c r="E1" s="2"/>
    </row>
    <row r="2" ht="14.25" customHeight="1" spans="1:5">
      <c r="A2" s="3" t="s">
        <v>1</v>
      </c>
      <c r="B2" s="4" t="s">
        <v>2</v>
      </c>
      <c r="C2" s="5"/>
      <c r="D2" s="5"/>
      <c r="E2" s="5"/>
    </row>
    <row r="3" ht="14.25" customHeight="1" spans="1:5">
      <c r="A3" s="3" t="s">
        <v>3</v>
      </c>
      <c r="B3" s="4" t="s">
        <v>4</v>
      </c>
      <c r="C3" s="5"/>
      <c r="D3" s="5"/>
      <c r="E3" s="5"/>
    </row>
    <row r="4" ht="14.25" customHeight="1" spans="1:5">
      <c r="A4" s="3" t="s">
        <v>5</v>
      </c>
      <c r="B4" s="6" t="s">
        <v>6</v>
      </c>
      <c r="C4" s="5"/>
      <c r="D4" s="5"/>
      <c r="E4" s="5"/>
    </row>
    <row r="5" ht="14.25" customHeight="1" spans="1:5">
      <c r="A5" s="3" t="s">
        <v>7</v>
      </c>
      <c r="B5" s="4">
        <v>3</v>
      </c>
      <c r="C5" s="5"/>
      <c r="D5" s="5"/>
      <c r="E5" s="5"/>
    </row>
    <row r="6" ht="14.25" customHeight="1" spans="1:5">
      <c r="A6" s="3" t="s">
        <v>8</v>
      </c>
      <c r="B6" s="4" t="s">
        <v>9</v>
      </c>
      <c r="C6" s="5"/>
      <c r="D6" s="5"/>
      <c r="E6" s="5"/>
    </row>
    <row r="7" ht="14.25" customHeight="1" spans="1:5">
      <c r="A7" s="3" t="s">
        <v>10</v>
      </c>
      <c r="B7" s="4">
        <v>2880</v>
      </c>
      <c r="C7" s="7"/>
      <c r="D7" s="7"/>
      <c r="E7" s="7"/>
    </row>
    <row r="8" ht="14.25" customHeight="1" spans="1:5">
      <c r="A8" s="3" t="s">
        <v>11</v>
      </c>
      <c r="B8" s="4">
        <v>576</v>
      </c>
      <c r="C8" s="7"/>
      <c r="D8" s="7"/>
      <c r="E8" s="7"/>
    </row>
    <row r="9" ht="48" customHeight="1" spans="1:5">
      <c r="A9" s="8" t="s">
        <v>12</v>
      </c>
      <c r="B9" s="9" t="s">
        <v>13</v>
      </c>
      <c r="C9" s="8" t="s">
        <v>14</v>
      </c>
      <c r="D9" s="8" t="s">
        <v>15</v>
      </c>
      <c r="E9" s="8" t="s">
        <v>16</v>
      </c>
    </row>
    <row r="10" ht="14.25" customHeight="1" spans="1:5">
      <c r="A10" s="10" t="s">
        <v>17</v>
      </c>
      <c r="B10" s="11" t="s">
        <v>18</v>
      </c>
      <c r="C10" s="12">
        <v>80</v>
      </c>
      <c r="D10" s="13">
        <v>10</v>
      </c>
      <c r="E10" s="14">
        <v>10</v>
      </c>
    </row>
    <row r="11" ht="14.25" customHeight="1" spans="1:5">
      <c r="A11" s="15" t="s">
        <v>19</v>
      </c>
      <c r="B11" s="16" t="s">
        <v>20</v>
      </c>
      <c r="C11" s="17">
        <f>($B$8-$C$10)/ROWS($A$11:$A$15)</f>
        <v>99.2</v>
      </c>
      <c r="D11" s="18">
        <f>C11/8</f>
        <v>12.4</v>
      </c>
      <c r="E11" s="19">
        <v>12</v>
      </c>
    </row>
    <row r="12" ht="14.25" customHeight="1" spans="1:5">
      <c r="A12" s="15" t="s">
        <v>21</v>
      </c>
      <c r="B12" s="16" t="s">
        <v>22</v>
      </c>
      <c r="C12" s="17">
        <f>($B$8-$C$10)/ROWS($A$11:$A$15)</f>
        <v>99.2</v>
      </c>
      <c r="D12" s="18">
        <f>C12/8</f>
        <v>12.4</v>
      </c>
      <c r="E12" s="19">
        <v>12</v>
      </c>
    </row>
    <row r="13" ht="14.25" customHeight="1" spans="1:5">
      <c r="A13" s="15" t="s">
        <v>23</v>
      </c>
      <c r="B13" s="16" t="s">
        <v>24</v>
      </c>
      <c r="C13" s="17">
        <f>($B$8-$C$10)/ROWS($A$11:$A$15)</f>
        <v>99.2</v>
      </c>
      <c r="D13" s="18">
        <f>C13/8</f>
        <v>12.4</v>
      </c>
      <c r="E13" s="19">
        <v>13</v>
      </c>
    </row>
    <row r="14" ht="14.25" customHeight="1" spans="1:5">
      <c r="A14" s="15" t="s">
        <v>25</v>
      </c>
      <c r="B14" s="16" t="s">
        <v>26</v>
      </c>
      <c r="C14" s="17">
        <f>($B$8-$C$10)/ROWS($A$11:$A$15)</f>
        <v>99.2</v>
      </c>
      <c r="D14" s="18">
        <f>C14/8</f>
        <v>12.4</v>
      </c>
      <c r="E14" s="19">
        <v>12</v>
      </c>
    </row>
    <row r="15" ht="14.25" customHeight="1" spans="1:5">
      <c r="A15" s="15" t="s">
        <v>27</v>
      </c>
      <c r="B15" s="16" t="s">
        <v>28</v>
      </c>
      <c r="C15" s="17">
        <f>($B$8-$C$10)/ROWS($A$11:$A$15)</f>
        <v>99.2</v>
      </c>
      <c r="D15" s="18">
        <f>C15/8</f>
        <v>12.4</v>
      </c>
      <c r="E15" s="19">
        <v>13</v>
      </c>
    </row>
    <row r="16" ht="14.25" customHeight="1" spans="1:5">
      <c r="A16" s="20" t="s">
        <v>29</v>
      </c>
      <c r="B16" s="21"/>
      <c r="C16" s="22">
        <v>576</v>
      </c>
      <c r="D16" s="20">
        <f>SUM(D11:D15)</f>
        <v>62</v>
      </c>
      <c r="E16" s="23">
        <f>SUM(E11:E15)</f>
        <v>62</v>
      </c>
    </row>
    <row r="17" ht="14.25" customHeight="1" spans="1:5">
      <c r="A17" s="2"/>
      <c r="C17" s="2"/>
      <c r="D17" s="2"/>
      <c r="E17" s="2"/>
    </row>
    <row r="18" ht="14.25" customHeight="1" spans="1:5">
      <c r="A18" s="2"/>
      <c r="B18" s="24" t="s">
        <v>30</v>
      </c>
      <c r="C18" s="25"/>
      <c r="D18" s="2"/>
      <c r="E18" s="2"/>
    </row>
    <row r="19" ht="14.25" customHeight="1" spans="1:5">
      <c r="A19" s="2"/>
      <c r="B19" s="24" t="s">
        <v>31</v>
      </c>
      <c r="C19" s="2"/>
    </row>
    <row r="20" ht="14.25" customHeight="1" spans="1:5">
      <c r="A20" s="2"/>
      <c r="B20" s="24"/>
    </row>
    <row r="21" ht="14.25" customHeight="1" spans="1:5">
      <c r="A21" s="2"/>
      <c r="B21" s="24"/>
    </row>
    <row r="22" ht="14.25" customHeight="1" spans="1:5">
      <c r="A22" s="2"/>
      <c r="B22" s="24"/>
    </row>
    <row r="23" ht="14.25" customHeight="1" spans="1:5">
      <c r="A23" s="2"/>
      <c r="B23" s="2"/>
      <c r="C23" s="2"/>
      <c r="D23" s="2"/>
      <c r="E23" s="2"/>
    </row>
    <row r="24" ht="14.25" customHeight="1" spans="1:5">
      <c r="A24" s="2"/>
      <c r="B24" s="26" t="s">
        <v>32</v>
      </c>
      <c r="C24" s="2"/>
      <c r="D24" s="2"/>
      <c r="E24" s="2"/>
    </row>
    <row r="25" ht="14.25" customHeight="1" spans="1:5">
      <c r="A25" s="2"/>
      <c r="B25" s="26" t="s">
        <v>33</v>
      </c>
      <c r="C25" s="2"/>
      <c r="D25" s="2"/>
      <c r="E25" s="2"/>
    </row>
    <row r="26" ht="14.25" customHeight="1" spans="1:5">
      <c r="A26" s="2"/>
      <c r="B26" s="26" t="s">
        <v>34</v>
      </c>
      <c r="C26" s="2"/>
      <c r="D26" s="2"/>
      <c r="E26" s="2"/>
    </row>
    <row r="27" ht="14.25" customHeight="1" spans="1:5">
      <c r="A27" s="2"/>
      <c r="B27" s="2"/>
      <c r="C27" s="2"/>
      <c r="D27" s="2"/>
      <c r="E27" s="2"/>
    </row>
    <row r="28" ht="14.25" customHeight="1" spans="1:5">
      <c r="A28" s="2"/>
      <c r="B28" s="26" t="s">
        <v>35</v>
      </c>
      <c r="C28" s="2"/>
      <c r="D28" s="2"/>
      <c r="E28" s="2"/>
    </row>
    <row r="29" ht="14.25" customHeight="1" spans="1:5">
      <c r="A29" s="2"/>
      <c r="B29" s="2"/>
      <c r="C29" s="2"/>
      <c r="D29" s="2"/>
      <c r="E29" s="2"/>
    </row>
    <row r="30" ht="14.25" customHeight="1" spans="1:5">
      <c r="A30" s="2"/>
      <c r="B30" s="26" t="s">
        <v>36</v>
      </c>
      <c r="C30" s="2"/>
      <c r="D30" s="2"/>
      <c r="E30" s="2"/>
    </row>
    <row r="31" ht="14.25" customHeight="1" spans="1:5">
      <c r="A31" s="2"/>
      <c r="B31" s="2"/>
      <c r="C31" s="2"/>
      <c r="D31" s="2"/>
      <c r="E31" s="2"/>
    </row>
    <row r="32" ht="14.25" customHeight="1" spans="1:5">
      <c r="A32" s="2"/>
      <c r="B32" s="27" t="s">
        <v>37</v>
      </c>
      <c r="C32" s="2"/>
      <c r="D32" s="2"/>
      <c r="E32" s="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8">
    <mergeCell ref="A1:D1"/>
    <mergeCell ref="B2:E2"/>
    <mergeCell ref="B3:E3"/>
    <mergeCell ref="B4:E4"/>
    <mergeCell ref="B5:E5"/>
    <mergeCell ref="B6:E6"/>
    <mergeCell ref="A17:B17"/>
    <mergeCell ref="C19:E22"/>
  </mergeCells>
  <pageMargins left="0.7" right="0.7" top="0.75" bottom="0.75" header="0" footer="0"/>
  <pageSetup paperSize="1" scale="7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PENJAJARAN CU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 Tan Kee Voon</dc:creator>
  <cp:lastModifiedBy>Wenjyue Lew</cp:lastModifiedBy>
  <dcterms:created xsi:type="dcterms:W3CDTF">2024-10-07T09:48:00Z</dcterms:created>
  <cp:lastPrinted>2025-06-13T15:06:00Z</cp:lastPrinted>
  <dcterms:modified xsi:type="dcterms:W3CDTF">2026-09-18T10:04:11Z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94BC431EB81C4C709D73AB51C202477D_12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