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enni\Downloads\"/>
    </mc:Choice>
  </mc:AlternateContent>
  <xr:revisionPtr revIDLastSave="0" documentId="8_{FA881993-414B-4BB0-BB66-9E4B84924EA9}" xr6:coauthVersionLast="47" xr6:coauthVersionMax="47" xr10:uidLastSave="{00000000-0000-0000-0000-000000000000}"/>
  <bookViews>
    <workbookView xWindow="-108" yWindow="-108" windowWidth="23256" windowHeight="12456" firstSheet="2" activeTab="4" xr2:uid="{00000000-000D-0000-FFFF-FFFF00000000}"/>
  </bookViews>
  <sheets>
    <sheet name="Hadapan" sheetId="1" r:id="rId1"/>
    <sheet name="B Verifikasi Kurikulum Bdg 1 da" sheetId="2" r:id="rId2"/>
    <sheet name="C Verifikasi Personel+JPS Bdg 4" sheetId="3" r:id="rId3"/>
    <sheet name="D Verifikasi FIZIKAL Bdg 5" sheetId="4" r:id="rId4"/>
    <sheet name="E COPTPA" sheetId="5" r:id="rId5"/>
    <sheet name="F Syor" sheetId="6" r:id="rId6"/>
    <sheet name="Komen" sheetId="7" state="hidden" r:id="rId7"/>
    <sheet name="Verifikasi Sykt &amp; SI" sheetId="8" state="hidden" r:id="rId8"/>
    <sheet name="Verifikasi SY &amp; SI " sheetId="9"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NO+Qa572Xr/T9acseUrBS8C8n4P0ZW8sJZZxE15kj6A="/>
    </ext>
  </extLst>
</workbook>
</file>

<file path=xl/calcChain.xml><?xml version="1.0" encoding="utf-8"?>
<calcChain xmlns="http://schemas.openxmlformats.org/spreadsheetml/2006/main">
  <c r="F135" i="5" l="1"/>
  <c r="C135" i="5"/>
  <c r="F134" i="5"/>
  <c r="C134" i="5"/>
  <c r="F133" i="5"/>
  <c r="C133" i="5"/>
  <c r="K125" i="5" a="1"/>
  <c r="K105" i="5" a="1"/>
  <c r="K93" i="5" a="1"/>
  <c r="K74" i="5" a="1"/>
  <c r="K50" i="5" a="1"/>
  <c r="K31" i="5" a="1"/>
  <c r="K31" i="5"/>
  <c r="K8" i="5" a="1"/>
  <c r="H8" i="5"/>
  <c r="K28" i="5" l="1"/>
  <c r="K26" i="5"/>
  <c r="K25" i="5"/>
  <c r="K24" i="5"/>
  <c r="K23" i="5"/>
  <c r="K19" i="5"/>
  <c r="K17" i="5"/>
  <c r="K15" i="5"/>
  <c r="K14" i="5"/>
  <c r="K12" i="5"/>
  <c r="K10" i="5"/>
  <c r="K8" i="5"/>
  <c r="K27" i="5"/>
  <c r="K22" i="5"/>
  <c r="K21" i="5"/>
  <c r="K20" i="5"/>
  <c r="K18" i="5"/>
  <c r="K16" i="5"/>
  <c r="K13" i="5"/>
  <c r="K11" i="5"/>
  <c r="K9" i="5"/>
  <c r="B22" i="6" s="1"/>
  <c r="K127" i="5"/>
  <c r="K126" i="5"/>
  <c r="K125" i="5"/>
  <c r="I22" i="6" s="1"/>
  <c r="K117" i="5"/>
  <c r="K111" i="5"/>
  <c r="K105" i="5"/>
  <c r="K116" i="5"/>
  <c r="K120" i="5"/>
  <c r="K115" i="5"/>
  <c r="K114" i="5"/>
  <c r="K112" i="5"/>
  <c r="K113" i="5"/>
  <c r="K122" i="5"/>
  <c r="K121" i="5"/>
  <c r="K119" i="5"/>
  <c r="K118" i="5"/>
  <c r="K110" i="5"/>
  <c r="K109" i="5"/>
  <c r="K108" i="5"/>
  <c r="K107" i="5"/>
  <c r="K106" i="5"/>
  <c r="K96" i="5"/>
  <c r="K95" i="5"/>
  <c r="K94" i="5"/>
  <c r="K101" i="5"/>
  <c r="K97" i="5"/>
  <c r="K102" i="5"/>
  <c r="K100" i="5"/>
  <c r="K99" i="5"/>
  <c r="K98" i="5"/>
  <c r="K93" i="5"/>
  <c r="G22" i="6" s="1"/>
  <c r="K74" i="5"/>
  <c r="F22" i="6" s="1"/>
  <c r="K90" i="5"/>
  <c r="K89" i="5"/>
  <c r="K88" i="5"/>
  <c r="K87" i="5"/>
  <c r="K86" i="5"/>
  <c r="K85" i="5"/>
  <c r="K84" i="5"/>
  <c r="K83" i="5"/>
  <c r="K82" i="5"/>
  <c r="K81" i="5"/>
  <c r="K80" i="5"/>
  <c r="K79" i="5"/>
  <c r="K78" i="5"/>
  <c r="K77" i="5"/>
  <c r="K76" i="5"/>
  <c r="K75" i="5"/>
  <c r="K59" i="5"/>
  <c r="K58" i="5"/>
  <c r="K57" i="5"/>
  <c r="K56" i="5"/>
  <c r="K55" i="5"/>
  <c r="K54" i="5"/>
  <c r="K53" i="5"/>
  <c r="K52" i="5"/>
  <c r="K51" i="5"/>
  <c r="K61" i="5"/>
  <c r="K66" i="5"/>
  <c r="K65" i="5"/>
  <c r="K64" i="5"/>
  <c r="K63" i="5"/>
  <c r="K62" i="5"/>
  <c r="K60" i="5"/>
  <c r="K50" i="5"/>
  <c r="D22" i="6" s="1"/>
  <c r="K47" i="5"/>
  <c r="K46" i="5"/>
  <c r="K45" i="5"/>
  <c r="K44" i="5"/>
  <c r="K43" i="5"/>
  <c r="K42" i="5"/>
  <c r="K41" i="5"/>
  <c r="K40" i="5"/>
  <c r="K39" i="5"/>
  <c r="K38" i="5"/>
  <c r="K37" i="5"/>
  <c r="K36" i="5"/>
  <c r="K35" i="5"/>
  <c r="K34" i="5"/>
  <c r="K33" i="5"/>
  <c r="K32" i="5"/>
  <c r="H22" i="6" l="1"/>
  <c r="C22" i="6"/>
  <c r="H133" i="5" l="1"/>
  <c r="K133" i="5" s="1"/>
  <c r="J22" i="6" s="1"/>
</calcChain>
</file>

<file path=xl/sharedStrings.xml><?xml version="1.0" encoding="utf-8"?>
<sst xmlns="http://schemas.openxmlformats.org/spreadsheetml/2006/main" count="1395" uniqueCount="665">
  <si>
    <t>JABATAN PEMBANGUNAN KEMAHIRAN
KEMENTERIAN SUMBER MANUSIA</t>
  </si>
  <si>
    <t>JPK/SLDN/LP01 COPTPA 2023</t>
  </si>
  <si>
    <t xml:space="preserve">LAPORAN LAWATAN PANEL PENENTUSAHAN PENTAULIAHAN 
PROGRAM KEMAHIRAN </t>
  </si>
  <si>
    <t>NAMA PLK/PB SLDN</t>
  </si>
  <si>
    <t>KOD PB SLDN (jika ada)</t>
  </si>
  <si>
    <t>TARIKH PENTAULIAHAN</t>
  </si>
  <si>
    <t>TARIKH LAWATAN</t>
  </si>
  <si>
    <t>KOD PB MOSQ (jika ada)</t>
  </si>
  <si>
    <t xml:space="preserve"> - </t>
  </si>
  <si>
    <t>JENIS SYARIKAT/ AGENSI</t>
  </si>
  <si>
    <t>Kerajaan / Badan Berkanun</t>
  </si>
  <si>
    <t>Syarikat Berkaitan Kerajaan (GLC)</t>
  </si>
  <si>
    <t>Perusahaan Kecil &amp; Sederhana (PKS)</t>
  </si>
  <si>
    <t>Syarikat Multinasional (MNC)</t>
  </si>
  <si>
    <t>KATEGORI PENENTUSAHAN</t>
  </si>
  <si>
    <t>/</t>
  </si>
  <si>
    <t>Biasa</t>
  </si>
  <si>
    <t>Induk. Nyatakan Nama PLK/PB Induk:_______________________________________</t>
  </si>
  <si>
    <t xml:space="preserve">MAKLUMAT PERMOHONAN </t>
  </si>
  <si>
    <t xml:space="preserve">1 : KATEGORI PENYEDIA LATIHAN KEMAHIRAN (PLK) / PB </t>
  </si>
  <si>
    <t>PUSAT LATIHAN</t>
  </si>
  <si>
    <t xml:space="preserve">SYARIKAT </t>
  </si>
  <si>
    <t xml:space="preserve">SYARIKAT LATIHAN DALAMAN (IN-HOUSE) </t>
  </si>
  <si>
    <t xml:space="preserve">2 : JENIS PERMOHONAN PENTAULIAHAN
</t>
  </si>
  <si>
    <t>PROGRAM PENUH</t>
  </si>
  <si>
    <r>
      <rPr>
        <b/>
        <sz val="12"/>
        <color theme="1"/>
        <rFont val="Arial"/>
        <family val="2"/>
      </rPr>
      <t xml:space="preserve">PROGRAM </t>
    </r>
    <r>
      <rPr>
        <b/>
        <i/>
        <sz val="12"/>
        <color rgb="FF000000"/>
        <rFont val="Arial Bold Italic"/>
      </rPr>
      <t>MICRO CREDENTIAL</t>
    </r>
    <r>
      <rPr>
        <b/>
        <sz val="12"/>
        <color theme="1"/>
        <rFont val="Arial"/>
        <family val="2"/>
      </rPr>
      <t xml:space="preserve"> (MC)</t>
    </r>
  </si>
  <si>
    <t>PROGRAM BAHARU</t>
  </si>
  <si>
    <t>PEMBAHARUAN PROGRAM</t>
  </si>
  <si>
    <t>PENAMBAHAN PROGRAM</t>
  </si>
  <si>
    <t>PINDAAN MAKLUMAT:</t>
  </si>
  <si>
    <t>Nama PB SLDN</t>
  </si>
  <si>
    <t>Tambah Premis / Cawangan</t>
  </si>
  <si>
    <t>Alamat PB SLDN</t>
  </si>
  <si>
    <t>Kapasiti Program</t>
  </si>
  <si>
    <t>Tandakan ( / ) pada ruangan berkaitan</t>
  </si>
  <si>
    <t>A. VERIFIKASI DOKUMEN UMUM / PREMIS</t>
  </si>
  <si>
    <t>BIL</t>
  </si>
  <si>
    <t>PERKARA</t>
  </si>
  <si>
    <t>ADA</t>
  </si>
  <si>
    <t>TIADA</t>
  </si>
  <si>
    <t>CATATAN</t>
  </si>
  <si>
    <r>
      <rPr>
        <sz val="10"/>
        <color theme="1"/>
        <rFont val="Arial"/>
        <family val="2"/>
      </rPr>
      <t>Semakan dokumen asal (</t>
    </r>
    <r>
      <rPr>
        <sz val="10"/>
        <color rgb="FF000000"/>
        <rFont val="Arial"/>
        <family val="2"/>
      </rPr>
      <t>original) berdasarkan senarai semak permohonan</t>
    </r>
  </si>
  <si>
    <t>a.</t>
  </si>
  <si>
    <t>Salinan *SSM/JPPM/SKM/PBT Sabah&amp;Sarawah/Agensi kerajaan</t>
  </si>
  <si>
    <t>b.</t>
  </si>
  <si>
    <t>Pendaftaran dengan Pihak Berkuasa Tempatan (PBT) yang masih sah (dikecualikan bagi agensi Kerajaan/Badan Berkanun)</t>
  </si>
  <si>
    <t xml:space="preserve">c. </t>
  </si>
  <si>
    <r>
      <rPr>
        <sz val="10"/>
        <color theme="1"/>
        <rFont val="Arial"/>
        <family val="2"/>
      </rPr>
      <t>Pendaftaran dengan agensi pelesenan:Jab. Kebajikan Masyarakat/Kem. Pelancongan/Kem. Kesihatan/Jab. Perhilitan/Majlis Agama Islam/Kem. Pelajaran</t>
    </r>
    <r>
      <rPr>
        <sz val="10"/>
        <color rgb="FF000000"/>
        <rFont val="Arial"/>
        <family val="2"/>
      </rPr>
      <t xml:space="preserve"> (jika berkenaan)</t>
    </r>
  </si>
  <si>
    <t>d</t>
  </si>
  <si>
    <r>
      <rPr>
        <sz val="10"/>
        <color theme="1"/>
        <rFont val="Arial"/>
        <family val="2"/>
      </rPr>
      <t xml:space="preserve">Dokumen pemilikan premis atau perjanjian sewaan - </t>
    </r>
    <r>
      <rPr>
        <sz val="10"/>
        <color rgb="FF000000"/>
        <rFont val="Arial"/>
        <family val="2"/>
      </rPr>
      <t>dikecualikan bagi agensi Kerajaan/Badan Berkanun.</t>
    </r>
  </si>
  <si>
    <t>Premis beroperasi di alamat seperti yang dinyatakan dalam borang permohonan</t>
  </si>
  <si>
    <t>Keselamatan premis</t>
  </si>
  <si>
    <t>b</t>
  </si>
  <si>
    <t>Mempunyai alat pemadam kebakaran dan berada di tempat yang sesuai</t>
  </si>
  <si>
    <t>c</t>
  </si>
  <si>
    <t xml:space="preserve">Menyediakan pelan kebakaran bagi keseluruhan premis </t>
  </si>
  <si>
    <t>Menyediakan laluan kecemasan, petujuk "KELUAR", "UTAMAKAN KESELAMATAN"</t>
  </si>
  <si>
    <t xml:space="preserve">B1.  VERIFIKASI KURIKULUM MODUL TERAS (BIDANG 1 COPTPA) 
</t>
  </si>
  <si>
    <t>KOD PROGRAM / NAMA PROGRAM</t>
  </si>
  <si>
    <t>A : RANCANGAN PENGAJARAN &amp;  PEMBELAJARAN</t>
  </si>
  <si>
    <t>C01</t>
  </si>
  <si>
    <t>C02</t>
  </si>
  <si>
    <t>C03</t>
  </si>
  <si>
    <t>C04</t>
  </si>
  <si>
    <t>C05</t>
  </si>
  <si>
    <t>C08</t>
  </si>
  <si>
    <t>C09</t>
  </si>
  <si>
    <t>C10</t>
  </si>
  <si>
    <t>Catatan</t>
  </si>
  <si>
    <t>A1</t>
  </si>
  <si>
    <t xml:space="preserve">Jadual Perancangan Pelaksanaan </t>
  </si>
  <si>
    <r>
      <rPr>
        <sz val="10"/>
        <color theme="1"/>
        <rFont val="Arial"/>
        <family val="2"/>
      </rPr>
      <t xml:space="preserve">ADA  / </t>
    </r>
    <r>
      <rPr>
        <sz val="10"/>
        <color theme="1"/>
        <rFont val="Arial"/>
        <family val="2"/>
      </rPr>
      <t>TIADA</t>
    </r>
  </si>
  <si>
    <t>A2</t>
  </si>
  <si>
    <t>Senarai Kandungan Kurikulum (KM01) lampiran 3 
* Jadual gabungan PL dan Syarikat</t>
  </si>
  <si>
    <t>A3</t>
  </si>
  <si>
    <t>Nota/Modul/Kertas Penerangan</t>
  </si>
  <si>
    <t>A4</t>
  </si>
  <si>
    <t xml:space="preserve">Proses Kerja berdasarkan NOSS (JPK/SLDN/PK01)(Untuk Kategori Syarikat Latihan Dalaman (In-HOUSE) dan Syarikat SLDN sahaja) 
 </t>
  </si>
  <si>
    <t>B : PENILAIAN BERTERUSAN (bagi permohonan pembaharuan program sahaja)</t>
  </si>
  <si>
    <t xml:space="preserve">Penilaian Pengetahuan </t>
  </si>
  <si>
    <t>B1</t>
  </si>
  <si>
    <t>Ujian Teori
i.Kertas Tugasan
ii.Kuiz</t>
  </si>
  <si>
    <t>TIDAK BERKAITAN</t>
  </si>
  <si>
    <t>B2</t>
  </si>
  <si>
    <t>Lain-lain (laporan teknikal,laporan perbincangan/ lawatan tapak, kajian kes, persembahan dan lain-lain yang sesuai)</t>
  </si>
  <si>
    <t xml:space="preserve">Penilaian Prestasi (terpakai untuk kategori Syarikat in-house sahaja) </t>
  </si>
  <si>
    <t>B3</t>
  </si>
  <si>
    <t>Ujian Amali
i.Proses kerja
ii.Hasil kerja (produk/servis/keputusan)
iii.Sikap/keselamatan
iv.Lisan
 Ujian amali boleh dilaksanakan dalam bentuk mini projek TVET, Case study, simulasi, bukti-bukti rekod kerja di bengkel.
Pembaharuan Program Sahaja
*Latihan melalui kertas kerja tidak diambil kira sebagai ujian amali</t>
  </si>
  <si>
    <t>C: PENILAIAN AKHIR</t>
  </si>
  <si>
    <t>Penilaian Akhir Kendiri (Dalaman)</t>
  </si>
  <si>
    <t>C1</t>
  </si>
  <si>
    <t>i.Penilaian Akhir Pengetahuan
ii.Penilaian Akhir Prestasi
(Merujuk kepada panduan pembangunan soalan penilaian latihan kemahiran yang sedang berkuatkuasa)</t>
  </si>
  <si>
    <t>Penilaian Akhir Verifikasi PPL</t>
  </si>
  <si>
    <t>C2</t>
  </si>
  <si>
    <t xml:space="preserve">B2.  VERIFIKASI KURIKULUM MODUL WAJIB (BIDANG 1 COPTPA) 
</t>
  </si>
  <si>
    <t>A : CORE ABILITY (CA) (semasa permohonan pembaharuan sahaja)</t>
  </si>
  <si>
    <t>Kertas Penerangan/ Nota Latihan</t>
  </si>
  <si>
    <t>Kertas Penilaian Pengetahuan</t>
  </si>
  <si>
    <t>Kertas Penilaian Prestasi</t>
  </si>
  <si>
    <t>CA (TAHAP 1)</t>
  </si>
  <si>
    <r>
      <rPr>
        <sz val="11"/>
        <color theme="1"/>
        <rFont val="Arial"/>
        <family val="2"/>
      </rPr>
      <t xml:space="preserve">ADA </t>
    </r>
    <r>
      <rPr>
        <sz val="11"/>
        <color theme="1"/>
        <rFont val="Arial"/>
        <family val="2"/>
      </rPr>
      <t xml:space="preserve">/ TIADA / </t>
    </r>
    <r>
      <rPr>
        <sz val="11"/>
        <color theme="1"/>
        <rFont val="Arial"/>
        <family val="2"/>
      </rPr>
      <t>TIDAK BERKAITAN</t>
    </r>
  </si>
  <si>
    <r>
      <rPr>
        <sz val="11"/>
        <color theme="1"/>
        <rFont val="Arial"/>
        <family val="2"/>
      </rPr>
      <t xml:space="preserve">ADA </t>
    </r>
    <r>
      <rPr>
        <sz val="11"/>
        <color theme="1"/>
        <rFont val="Arial"/>
        <family val="2"/>
      </rPr>
      <t xml:space="preserve">/ TIADA / </t>
    </r>
    <r>
      <rPr>
        <sz val="11"/>
        <color theme="1"/>
        <rFont val="Arial"/>
        <family val="2"/>
      </rPr>
      <t>TIDAK BERKAITAN</t>
    </r>
  </si>
  <si>
    <t>TIDAK DISERTAKAN</t>
  </si>
  <si>
    <t>CA (TAHAP 2)</t>
  </si>
  <si>
    <r>
      <rPr>
        <sz val="11"/>
        <color theme="1"/>
        <rFont val="Arial"/>
        <family val="2"/>
      </rPr>
      <t xml:space="preserve">ADA </t>
    </r>
    <r>
      <rPr>
        <sz val="11"/>
        <color theme="1"/>
        <rFont val="Arial"/>
        <family val="2"/>
      </rPr>
      <t xml:space="preserve">/ TIADA / </t>
    </r>
    <r>
      <rPr>
        <sz val="11"/>
        <color theme="1"/>
        <rFont val="Arial"/>
        <family val="2"/>
      </rPr>
      <t>TIDAK BERKAITAN</t>
    </r>
  </si>
  <si>
    <r>
      <rPr>
        <sz val="11"/>
        <color theme="1"/>
        <rFont val="Arial"/>
        <family val="2"/>
      </rPr>
      <t xml:space="preserve">ADA </t>
    </r>
    <r>
      <rPr>
        <sz val="11"/>
        <color theme="1"/>
        <rFont val="Arial"/>
        <family val="2"/>
      </rPr>
      <t xml:space="preserve">/ TIADA / </t>
    </r>
    <r>
      <rPr>
        <sz val="11"/>
        <color theme="1"/>
        <rFont val="Arial"/>
        <family val="2"/>
      </rPr>
      <t>TIDAK BERKAITAN</t>
    </r>
  </si>
  <si>
    <t>CA (TAHAP 3)</t>
  </si>
  <si>
    <r>
      <rPr>
        <sz val="11"/>
        <color theme="1"/>
        <rFont val="Arial"/>
        <family val="2"/>
      </rPr>
      <t xml:space="preserve">ADA </t>
    </r>
    <r>
      <rPr>
        <sz val="11"/>
        <color theme="1"/>
        <rFont val="Arial"/>
        <family val="2"/>
      </rPr>
      <t xml:space="preserve">/ TIADA / </t>
    </r>
    <r>
      <rPr>
        <sz val="11"/>
        <color theme="1"/>
        <rFont val="Arial"/>
        <family val="2"/>
      </rPr>
      <t>TIDAK BERKAITAN</t>
    </r>
  </si>
  <si>
    <r>
      <rPr>
        <sz val="11"/>
        <color theme="1"/>
        <rFont val="Arial"/>
        <family val="2"/>
      </rPr>
      <t xml:space="preserve">ADA </t>
    </r>
    <r>
      <rPr>
        <sz val="11"/>
        <color theme="1"/>
        <rFont val="Arial"/>
        <family val="2"/>
      </rPr>
      <t xml:space="preserve">/ TIADA / </t>
    </r>
    <r>
      <rPr>
        <sz val="11"/>
        <color theme="1"/>
        <rFont val="Arial"/>
        <family val="2"/>
      </rPr>
      <t>TIDAK BERKAITAN</t>
    </r>
  </si>
  <si>
    <t>CA (TAHAP 4)</t>
  </si>
  <si>
    <r>
      <rPr>
        <sz val="11"/>
        <color theme="1"/>
        <rFont val="Arial"/>
        <family val="2"/>
      </rPr>
      <t xml:space="preserve">ADA </t>
    </r>
    <r>
      <rPr>
        <sz val="11"/>
        <color theme="1"/>
        <rFont val="Arial"/>
        <family val="2"/>
      </rPr>
      <t xml:space="preserve">/ </t>
    </r>
    <r>
      <rPr>
        <sz val="11"/>
        <color theme="1"/>
        <rFont val="Arial"/>
        <family val="2"/>
      </rPr>
      <t xml:space="preserve">TIADA </t>
    </r>
    <r>
      <rPr>
        <sz val="11"/>
        <color theme="1"/>
        <rFont val="Arial"/>
        <family val="2"/>
      </rPr>
      <t>/ TIDAK BERKAITAN</t>
    </r>
  </si>
  <si>
    <r>
      <rPr>
        <sz val="11"/>
        <color theme="1"/>
        <rFont val="Arial"/>
        <family val="2"/>
      </rPr>
      <t xml:space="preserve">ADA </t>
    </r>
    <r>
      <rPr>
        <sz val="11"/>
        <color theme="1"/>
        <rFont val="Arial"/>
        <family val="2"/>
      </rPr>
      <t xml:space="preserve">/ </t>
    </r>
    <r>
      <rPr>
        <sz val="11"/>
        <color theme="1"/>
        <rFont val="Arial"/>
        <family val="2"/>
      </rPr>
      <t xml:space="preserve">TIADA </t>
    </r>
    <r>
      <rPr>
        <sz val="11"/>
        <color theme="1"/>
        <rFont val="Arial"/>
        <family val="2"/>
      </rPr>
      <t>/ TIDAK BERKAITAN</t>
    </r>
  </si>
  <si>
    <t>CA (TAHAP 5)</t>
  </si>
  <si>
    <r>
      <rPr>
        <sz val="11"/>
        <color theme="1"/>
        <rFont val="Arial"/>
        <family val="2"/>
      </rPr>
      <t>ADA</t>
    </r>
    <r>
      <rPr>
        <sz val="11"/>
        <color theme="1"/>
        <rFont val="Arial"/>
        <family val="2"/>
      </rPr>
      <t xml:space="preserve"> / </t>
    </r>
    <r>
      <rPr>
        <sz val="11"/>
        <color theme="1"/>
        <rFont val="Arial"/>
        <family val="2"/>
      </rPr>
      <t>TIADA</t>
    </r>
    <r>
      <rPr>
        <sz val="11"/>
        <color theme="1"/>
        <rFont val="Arial"/>
        <family val="2"/>
      </rPr>
      <t xml:space="preserve"> / TIDAK BERKAITAN</t>
    </r>
  </si>
  <si>
    <r>
      <rPr>
        <sz val="11"/>
        <color theme="1"/>
        <rFont val="Arial"/>
        <family val="2"/>
      </rPr>
      <t>ADA</t>
    </r>
    <r>
      <rPr>
        <sz val="11"/>
        <color theme="1"/>
        <rFont val="Arial"/>
        <family val="2"/>
      </rPr>
      <t xml:space="preserve"> / </t>
    </r>
    <r>
      <rPr>
        <sz val="11"/>
        <color theme="1"/>
        <rFont val="Arial"/>
        <family val="2"/>
      </rPr>
      <t>TIADA</t>
    </r>
    <r>
      <rPr>
        <sz val="11"/>
        <color theme="1"/>
        <rFont val="Arial"/>
        <family val="2"/>
      </rPr>
      <t xml:space="preserve"> / TIDAK BERKAITAN</t>
    </r>
  </si>
  <si>
    <t xml:space="preserve">B : MODUL PENYEDIA TVET (ISI YANG BERKAITAN  </t>
  </si>
  <si>
    <r>
      <rPr>
        <b/>
        <sz val="11"/>
        <color theme="1"/>
        <rFont val="Arial"/>
        <family val="2"/>
      </rPr>
      <t xml:space="preserve">Rangka Kursus 
</t>
    </r>
    <r>
      <rPr>
        <b/>
        <i/>
        <sz val="11"/>
        <color theme="1"/>
        <rFont val="Arial"/>
        <family val="2"/>
      </rPr>
      <t>(Course Outline</t>
    </r>
    <r>
      <rPr>
        <b/>
        <sz val="11"/>
        <color theme="1"/>
        <rFont val="Arial"/>
        <family val="2"/>
      </rPr>
      <t>)</t>
    </r>
  </si>
  <si>
    <t xml:space="preserve"> PKK Teori / PKK Amali / Penilaian Akhir Teori / Penilaian Akhir Amali</t>
  </si>
  <si>
    <t xml:space="preserve">C1 : SEMAKAN PERSONEL (BIDANG 4 COPTPA) 
</t>
  </si>
  <si>
    <t>LANTIKAN (PPB/Pengajar/Coach/ Penyelaras)</t>
  </si>
  <si>
    <t xml:space="preserve">NAMA </t>
  </si>
  <si>
    <t>SURAT LANTIKAN DAN TERIMA MENGIKUT PROGRAM
(ADA/TIADA)</t>
  </si>
  <si>
    <t>SIJIL INDUKSI SLDN
(ADA/TIADA)</t>
  </si>
  <si>
    <t>PENGIKTIRAFAN PERSONEL (ADA/TIADA)</t>
  </si>
  <si>
    <t>SKM / DKM / DLKM
(TANDA YANG BERKAITAN)</t>
  </si>
  <si>
    <t xml:space="preserve"> DIPLOMA / IJAZAH
a)Diploma / Ijazah dalam bidang dan 2 tahun pengalaman kerja; atau
b)Diploma / Ijazah sarjana muda TVET dalam program yang berkaitan (ADA
/ TIADA)</t>
  </si>
  <si>
    <t xml:space="preserve">SIJIL TEKNIK MENGAJAR VTO / VTE / VTM / Pengajaran TVET (TVET-i) / Pengurusan TVET (TVET-m) </t>
  </si>
  <si>
    <t>Sijil Teknik Mengajar
yang diluluskan oleh KPPK
(ADA / TIADA)</t>
  </si>
  <si>
    <t>Sijil Bagi Program yang Melibatkan Agensi Penguatkuasaan atau Badan Pelesenan
(ADA / TIADA)</t>
  </si>
  <si>
    <t>PENGALAMAN (TAHUN)</t>
  </si>
  <si>
    <t>KERJA DALAM BIDANG</t>
  </si>
  <si>
    <t>MENGAJAR DALAM BIDANG</t>
  </si>
  <si>
    <t xml:space="preserve">
SYOR </t>
  </si>
  <si>
    <t>NOTA
i.Personel yang dilantik sebagai Pengajar dan Coach hendaklah individu yang berlainan.
ii.Personel Pengajar  (Sepenuh Masa) yang berstatus pekerja tetap. 
iii.Pengajar separuh masa boleh dilantik tetapi tidak boleh melebihi 40% dari jumlah keseluruhan pengajar.
*rujuk panduan yang sedang berkuatkuasa
dokumen asal hendaklah dikemukakan kepada panel semasa lawatan</t>
  </si>
  <si>
    <t>C2 : SEMAKAN JAWATANKUASA PENILAIAN 
(hanya untuk permohonan pembaharuan program sahaja)</t>
  </si>
  <si>
    <t xml:space="preserve">(ADA/ TIADA/TIDAK BERKAITAN)
</t>
  </si>
  <si>
    <t>Nota: Setiap bidang hendaklah mempunyai Jawatankuasa Penilaian yang berlainan.</t>
  </si>
  <si>
    <t>D.  VERIFIKASI FIZIKAL (BIDANG 5 COPTPA)</t>
  </si>
  <si>
    <t>D1 : SENARAI PERALATAN DAN KEMUDAHAN TEORI BERDASARKAN CU/Duti/WA/Task (JPK/PP01)</t>
  </si>
  <si>
    <t>Bil</t>
  </si>
  <si>
    <t xml:space="preserve">STATUS </t>
  </si>
  <si>
    <t>Semakan Peralatan ( Meja / Kerusi / AVA dan lain- lain)</t>
  </si>
  <si>
    <r>
      <rPr>
        <sz val="10"/>
        <color theme="1"/>
        <rFont val="Arial"/>
        <family val="2"/>
      </rPr>
      <t xml:space="preserve">Peraku / </t>
    </r>
    <r>
      <rPr>
        <sz val="10"/>
        <color theme="1"/>
        <rFont val="Arial"/>
        <family val="2"/>
      </rPr>
      <t>Tidak Diperaku</t>
    </r>
  </si>
  <si>
    <t>Peralatan Simulasi/ Pelesenan program</t>
  </si>
  <si>
    <r>
      <rPr>
        <sz val="10"/>
        <color theme="1"/>
        <rFont val="Arial"/>
        <family val="2"/>
      </rPr>
      <t>Ada</t>
    </r>
    <r>
      <rPr>
        <sz val="10"/>
        <color theme="1"/>
        <rFont val="Arial"/>
        <family val="2"/>
      </rPr>
      <t xml:space="preserve"> / </t>
    </r>
    <r>
      <rPr>
        <sz val="10"/>
        <color theme="1"/>
        <rFont val="Arial"/>
        <family val="2"/>
      </rPr>
      <t xml:space="preserve">Tiada </t>
    </r>
    <r>
      <rPr>
        <sz val="10"/>
        <color theme="1"/>
        <rFont val="Arial"/>
        <family val="2"/>
      </rPr>
      <t>/ Tidak Berkaitan</t>
    </r>
  </si>
  <si>
    <t>Verifikasi Bilik Teori</t>
  </si>
  <si>
    <t>KAPASITI</t>
  </si>
  <si>
    <t>PENCAHAYAAN</t>
  </si>
  <si>
    <t>i. Kapasiti perantis bagi setiap kelas/bilik latihan.</t>
  </si>
  <si>
    <t>Kelas/Bilik Kuliah 1</t>
  </si>
  <si>
    <r>
      <rPr>
        <sz val="11"/>
        <color theme="1"/>
        <rFont val="Arial"/>
        <family val="2"/>
      </rPr>
      <t xml:space="preserve">Sesuai / 
</t>
    </r>
    <r>
      <rPr>
        <sz val="11"/>
        <color theme="1"/>
        <rFont val="Arial"/>
        <family val="2"/>
      </rPr>
      <t>Tidak Sesuai</t>
    </r>
  </si>
  <si>
    <t>Kelas/Bilik Kuliah 2</t>
  </si>
  <si>
    <r>
      <rPr>
        <sz val="11"/>
        <color theme="1"/>
        <rFont val="Arial"/>
        <family val="2"/>
      </rPr>
      <t xml:space="preserve">Sesuai / 
</t>
    </r>
    <r>
      <rPr>
        <sz val="11"/>
        <color theme="1"/>
        <rFont val="Arial"/>
        <family val="2"/>
      </rPr>
      <t>Tidak Sesuai</t>
    </r>
  </si>
  <si>
    <t>Kelas/Bilik Kuliah 3</t>
  </si>
  <si>
    <r>
      <rPr>
        <sz val="11"/>
        <color theme="1"/>
        <rFont val="Arial"/>
        <family val="2"/>
      </rPr>
      <t xml:space="preserve">Sesuai / 
</t>
    </r>
    <r>
      <rPr>
        <sz val="11"/>
        <color theme="1"/>
        <rFont val="Arial"/>
        <family val="2"/>
      </rPr>
      <t>Tidak Sesuai</t>
    </r>
  </si>
  <si>
    <t>ii. Kapasiti perantis keseluruhan jika program berjalan serentak</t>
  </si>
  <si>
    <t>D2 : SENARAI PERALATAN DAN KELENGKAPAN PRAKTIKAL BERDASARKAN CU/Duti/WA/Task (JPK/PS01) 
( Untuk SYARIKAT LATIHAN DALAMAN (IN-HOUSE) sahaja)</t>
  </si>
  <si>
    <t>Perkara</t>
  </si>
  <si>
    <t>STATUS / KAPASITI</t>
  </si>
  <si>
    <t>Semakan Peralatan Berdasarkan CU/Duti/WA/Task</t>
  </si>
  <si>
    <r>
      <rPr>
        <sz val="10"/>
        <color theme="1"/>
        <rFont val="Arial"/>
        <family val="2"/>
      </rPr>
      <t>Peraku</t>
    </r>
    <r>
      <rPr>
        <sz val="10"/>
        <color theme="1"/>
        <rFont val="Arial"/>
        <family val="2"/>
      </rPr>
      <t xml:space="preserve"> / Tidak Diperaku</t>
    </r>
  </si>
  <si>
    <t>Premis sesuai untuk latihan praktikal</t>
  </si>
  <si>
    <r>
      <rPr>
        <sz val="10"/>
        <color theme="1"/>
        <rFont val="Arial"/>
        <family val="2"/>
      </rPr>
      <t>Peraku /</t>
    </r>
    <r>
      <rPr>
        <sz val="10"/>
        <color theme="1"/>
        <rFont val="Arial"/>
        <family val="2"/>
      </rPr>
      <t xml:space="preserve"> Tidak Diperaku</t>
    </r>
  </si>
  <si>
    <t xml:space="preserve">Pencahayaan dan pengudaraan dalaman sesuai untuk latihan praktikal </t>
  </si>
  <si>
    <r>
      <rPr>
        <sz val="10"/>
        <color theme="1"/>
        <rFont val="Arial"/>
        <family val="2"/>
      </rPr>
      <t xml:space="preserve">Sesuai / </t>
    </r>
    <r>
      <rPr>
        <sz val="10"/>
        <color theme="1"/>
        <rFont val="Arial"/>
        <family val="2"/>
      </rPr>
      <t>Tidak Sesuai</t>
    </r>
  </si>
  <si>
    <t>Kapasiti perantis keseluruhan jika program berjalan serentak</t>
  </si>
  <si>
    <t>D3:  VERIFIKASI PERALATAN DI SYARIKAT / AGENSI / PREMIS LUAR (jika berkaitan)</t>
  </si>
  <si>
    <t xml:space="preserve">CU/Duti/WA/Task terlibat : </t>
  </si>
  <si>
    <t xml:space="preserve">CATATAN </t>
  </si>
  <si>
    <t>Penilaian Proses Kerja (JPK/PK01)</t>
  </si>
  <si>
    <t xml:space="preserve">  -</t>
  </si>
  <si>
    <t xml:space="preserve">Penilaian Peralatan berdasarkan CU/Duti/WA/Task (JPK/PS01) </t>
  </si>
  <si>
    <t>MOU</t>
  </si>
  <si>
    <t>Nama dan Alamat Agensi / Premis Luar</t>
  </si>
  <si>
    <t>E: PENILAIAN KRITERIA DAN STANDARD PENTAULIAHAN PROGRAM (COPTPA)</t>
  </si>
  <si>
    <t>Jenis permohonan: 
B – Program Baharu
P – Pembaharuan
T – Penambahan program</t>
  </si>
  <si>
    <t>Kategori Skala Penilaian:</t>
  </si>
  <si>
    <t>Skor mengikut kategori penilaian</t>
  </si>
  <si>
    <t>P=Pengurusan/ Proses</t>
  </si>
  <si>
    <t>Dokumen/lisan/pemerhatian:
0 –Tiada (0%)
1 –Ada dan dilaksanakan sebahagiannya (&lt;50%)
2 –Ada dan dilaksanakan sebahagiannya (50% sehingga 90%)
3 –Dilaksanakan sepenuhnya (&gt;90%)</t>
  </si>
  <si>
    <t>D=Dokumen</t>
  </si>
  <si>
    <t>Softcopy/hardcopy:
0 –Tiada (0%)
1 –Ada dan tidak lengkap (&lt;50%)
2 –Ada dan lengkap sebahagian (50% sehingga 90%)
3 –Lengkap (&gt;90%)</t>
  </si>
  <si>
    <t>F=Fizikal</t>
  </si>
  <si>
    <t>0 –Tiada (0%)
1 –Ada sebahagian yang selamat atau berfungsi (&lt;50 %)
2 –Ada sebahagian yang selamat atau berfungsi (50% sehingga 90%) 
3 –Memenuhi dari segi bilangan, keselamatan dan kefungsian (&gt;90%)</t>
  </si>
  <si>
    <t>BIDANG 1: PEMBANGUNAN DAN PENYAMPAIAN PROGRAM</t>
  </si>
  <si>
    <t>STANDARD TVET</t>
  </si>
  <si>
    <t>JENIS PERMOHONAN</t>
  </si>
  <si>
    <t>PANDUAN KEPADA APV</t>
  </si>
  <si>
    <t xml:space="preserve">RUBRIK PEMARKAHAN </t>
  </si>
  <si>
    <t>KATEGORI SKALA PENILAIAN</t>
  </si>
  <si>
    <t>PEMBERAT</t>
  </si>
  <si>
    <t xml:space="preserve">SKOR </t>
  </si>
  <si>
    <t>JUMLAH SKOR</t>
  </si>
  <si>
    <t>1.1</t>
  </si>
  <si>
    <t>Objektif Pendidikan Program</t>
  </si>
  <si>
    <t>B</t>
  </si>
  <si>
    <t>P</t>
  </si>
  <si>
    <t>T</t>
  </si>
  <si>
    <t>1.1.1</t>
  </si>
  <si>
    <t>Objektif program mestilah selari dengan visi, misi dan matlamat PLKT/Penyedia TVET.</t>
  </si>
  <si>
    <t>√</t>
  </si>
  <si>
    <r>
      <rPr>
        <sz val="10"/>
        <color theme="1"/>
        <rFont val="Arial"/>
        <family val="2"/>
      </rPr>
      <t>Menyemak
a. Kesesuaian objektif program yang disediakan 
b. Hubung  kait  antara visi, misi dan matlamat PLK/PB dengan objektif program. 
Contoh bukti yang dilihat seperti:
i.  Website
ii. Student’s handbook;
iii. Poster
iv. Brosur;
v.  Profil Syarikat (</t>
    </r>
    <r>
      <rPr>
        <i/>
        <sz val="10"/>
        <color theme="1"/>
        <rFont val="Arial"/>
        <family val="2"/>
      </rPr>
      <t>Company  profile)</t>
    </r>
    <r>
      <rPr>
        <sz val="10"/>
        <color theme="1"/>
        <rFont val="Arial"/>
        <family val="2"/>
      </rPr>
      <t>; atau
vi. Apa-apa  dokumen yang menerangkan visi, misi dan matlamat dengan objektif program</t>
    </r>
  </si>
  <si>
    <t>0 - Tiada
1 - Ada misi, visi dan matlamat tetapi tiada objektif program.
2 - Ada objektif program tetapi tidak sesuai dengan visi, misi dan matlamat Penyedia TVET.
3 - Objektif program selari dengan visi, misi dan matlamat Penyedia TVET.</t>
  </si>
  <si>
    <t>D</t>
  </si>
  <si>
    <t>1.2</t>
  </si>
  <si>
    <t>Hasil Pembelajaran Program</t>
  </si>
  <si>
    <t>1.2.1</t>
  </si>
  <si>
    <t>Program mestilah selari dan menyokong visi, misi dan sasaran PLKT/Penyedia TVET</t>
  </si>
  <si>
    <r>
      <rPr>
        <sz val="10"/>
        <color rgb="FF000000"/>
        <rFont val="Arial"/>
        <family val="2"/>
      </rPr>
      <t>Menyemak sama ada visi,  misi  dan matlamat adalah selari dengan PLO (</t>
    </r>
    <r>
      <rPr>
        <i/>
        <sz val="10"/>
        <color rgb="FF000000"/>
        <rFont val="Arial"/>
        <family val="2"/>
      </rPr>
      <t>Program Learning Outcome</t>
    </r>
    <r>
      <rPr>
        <sz val="10"/>
        <color rgb="FF000000"/>
        <rFont val="Arial"/>
        <family val="2"/>
      </rPr>
      <t>) bagi    melahirkan graduan dalam jurusan/bidang yang disasarkan oleh PLK/PB.</t>
    </r>
  </si>
  <si>
    <t>0 - Tiada
1 - Ada misi, visi dan matlamat tetapi tiada hasil pembelajaran.
2 - Ada misi, visi dan matlamat dan ada hasil pembelajaran tetapi tidak sesuai.
3 - Misi, visi dan matlamat selari dengan hasil pembelajaran.</t>
  </si>
  <si>
    <t>1.2.2</t>
  </si>
  <si>
    <t>Penawaran program mestilah berlandaskan dapatan penilaian tentang keperluan program.
PLKT/Penyedia TVET mestilah mempunyai jawatan kuasa rasmi yang bertanggungjawab mengendalikan sesi konsultasi dengan pihak dalaman dan luaran, kajian pasaran, analisis keperluan pekerjaan dan menjangka kebolehpasaran graduan program selari dengan perkembangan teknologi dan bidang
program.</t>
  </si>
  <si>
    <r>
      <rPr>
        <sz val="10"/>
        <color theme="1"/>
        <rFont val="Arial"/>
        <family val="2"/>
      </rPr>
      <t xml:space="preserve">Menilai dan mengesahkan program yang dilaksanakan dengan mengambil kira </t>
    </r>
    <r>
      <rPr>
        <b/>
        <sz val="10"/>
        <color theme="1"/>
        <rFont val="Arial"/>
        <family val="2"/>
      </rPr>
      <t>kajian pasaran, analisis keperluan pekerjaan dan menjangka kebolehpasaran.</t>
    </r>
    <r>
      <rPr>
        <sz val="10"/>
        <color theme="1"/>
        <rFont val="Arial"/>
        <family val="2"/>
      </rPr>
      <t xml:space="preserve"> Semakan boleh mengambil kira perkara berikut:
i.  Jawatankuasa   kajian pasaran program  Carta organisasi PPPB /Jawankuasa Penilaian;
ii.  Laporan kajian /  Minit Mesyuarat PPPB/Jawankuasa Penilaian ; atau
iii. Dokumen lain yang berkaitan</t>
    </r>
  </si>
  <si>
    <t>0 - Tiada
1 – Memenuhi salah 1 penilaian 
keperluan program.
2 - Memenuhi sekurang-kurangnya 2 penilaian keperluan program.
3 - Memenuhi semua penilaian 
keperluan program.</t>
  </si>
  <si>
    <t>1.2.3</t>
  </si>
  <si>
    <t>Objektif, hasil pembelajaran, penyampaian program TVET mesti dinyatakan dengan jelas dan perlu mencakupi strategi pengajaran dan pembelajaran,penilaian dan penjajaran konstuktif diantaranya.</t>
  </si>
  <si>
    <t>Menilai perkaitan antara hubung kait antara objektif, hasil pembelajaran dan strategi pelaksanaan program berdasarkan maklumat yang dibekalkan.</t>
  </si>
  <si>
    <t>0 - Tiada
3 - Ada</t>
  </si>
  <si>
    <t>1.2.4</t>
  </si>
  <si>
    <t>PLO    mesti    sesuai dengan         diskripsi tahap      dan      lima kluster                hasil pembelajaran    yang dinyatakan      dalam MQF.
Lima    kluster    hasil pembelajaran seperti berikut:
i.  Pengetahuan dan pemahaman
ii.  Kemahiran kognitif
iii.  Kemahiran kefungsian kerja (kemahiran praktikal/ interpersonal/ komunikasi/ digital/ kepimpinan
iv.  Kemahiran keusahawanan*
v.  Etika dan profesionalisma</t>
  </si>
  <si>
    <t>Menilai dan mengesahkan kefahaman PLK/PB berkaitan hasil pembelajaran dalam program merujuk kepada 5 kluster hasil pembelajaran.</t>
  </si>
  <si>
    <t>1.2.5</t>
  </si>
  <si>
    <t>Berdasarkan Hasil Pembelajaran yang dinyatakan, senaraikan kerjaya dan pilihan menyambung pengajian apabila pelajar telah menamatkan pengajian mereka.</t>
  </si>
  <si>
    <t>0 - Tiada
1 – Ada salah satu elemen; Laluan peluang kerjaya atau pengajian.
 3 - Ada kedua-dua elemen; Laluan peluang kerjaya dan pengajian.</t>
  </si>
  <si>
    <t>Pembangunan Program</t>
  </si>
  <si>
    <t>1.3.1</t>
  </si>
  <si>
    <t>TVET program hanya boleh dipertimbangkan jika kurikulum program tersebut dibangunkan berlandaskan Occupational / Industry Standards and Practices (OISP) atau NOSS.</t>
  </si>
  <si>
    <t>Mengesahkan program menepati keperluan yang ditetapkan NOSS.</t>
  </si>
  <si>
    <t>1.3.2</t>
  </si>
  <si>
    <t>Kurikulum yang ditawarkan mestilah memenuhi keperluan OISP yang dinyatakan, standard TVET, standard program (yang berkaitan), keperluan
profesional,keperluan industri, amalan baik yang selari dengan teknologi baharu dan akan datang.
(Standard ini turut merujuk 1.3.3)</t>
  </si>
  <si>
    <t>Menyemak, menilai dan mengesahkan maklumat program dan kurikulum menepati keperluan yang ditetapkan NOSS dan peraturan serta panduan pelaksanaan yang sedang berkuat kuasa.</t>
  </si>
  <si>
    <t>1.3.4</t>
  </si>
  <si>
    <t>Penyedia TVET mestilah mempunyai autonomi dalam mereka bentuk kurikulum dan menggunapakai sumber berkaitan seperti ketetapan OISP.</t>
  </si>
  <si>
    <t>Mengesahkan kandungan dan struktur latihan. Antara bukti yang disemak seperti:
i.    Kurikulum,
ii.   Senarai modul dan jam kredit; atau
iii.  Jadual pelaksanaan latihan.</t>
  </si>
  <si>
    <t>0 - Tiada
1 – Tidak lengkap &lt;50%
2 - Tidak lengkap &gt;50%
3 - Lengkap</t>
  </si>
  <si>
    <t>1.3.7</t>
  </si>
  <si>
    <t>Penyedia TVET mestilah menjalankan aktiviti yang boleh memperkayakan pengalaman dan meningkatkan perkembangan diri pelajar. (tidak terpakai kepada program ODL dan program yang dibangunkan untuk pelajar matang)</t>
  </si>
  <si>
    <t>Komen kesesuaian aktiviti yang disediakan oleh Penyedia TVET dalam meningkatkan pengalaman  dan perkembangan diri pelajar.
*Nota: Pendedahan industri bagi program SLDN / ADI diberikan secara automatik</t>
  </si>
  <si>
    <t>0 - Tiada
1 – Ada 1 atau 2 bukti
2 - Ada 3 bukti
3 - Ada semua bukti</t>
  </si>
  <si>
    <t>Penyampaian Program</t>
  </si>
  <si>
    <t>1.4.1</t>
  </si>
  <si>
    <t>Penyedia TVET mestilah bertanggungjawab dalam memastikan keberkesanan penyampaian hasil pembelajaran program.</t>
  </si>
  <si>
    <t>Menyemak borang maklum balas dan laporan analisa bagi keberkesanan hasil pembelajaran program. Contoh bukti yang dilihat seperti:
i.   Borang maklum balas program;
ii.  Analisa maklum balas program
iii. Minit Mesyuarat; atau
iv. Dokumen-dokumen lain yang  boleh menyokong maklumat tersebut.</t>
  </si>
  <si>
    <t>0 - Tiada
1 – Ada borang maklumbalas sahaja
2 – Ada borang dan analisa sahaja
3 – Ada borang, analisa dan dibentangkan</t>
  </si>
  <si>
    <t>1.4.2</t>
  </si>
  <si>
    <t>Maklumat berkaitan objektif, struktur, outline kursus, jadual, jam kredit, LO, kaedah penilaian program dan lain-lain maklumat terkini berkaitan program wajib disampaikan kepada pelajar.</t>
  </si>
  <si>
    <r>
      <rPr>
        <sz val="10"/>
        <color theme="1"/>
        <rFont val="Arial"/>
        <family val="2"/>
      </rPr>
      <t xml:space="preserve">Menyemak dan mengesahkan  maklumat terkini           disampaikan kepada pelatih/perantis. Contoh bukti yang dilihat seperti:
i.   </t>
    </r>
    <r>
      <rPr>
        <i/>
        <sz val="10"/>
        <color theme="1"/>
        <rFont val="Arial"/>
        <family val="2"/>
      </rPr>
      <t>Website</t>
    </r>
    <r>
      <rPr>
        <sz val="10"/>
        <color theme="1"/>
        <rFont val="Arial"/>
        <family val="2"/>
      </rPr>
      <t>;
ii.  Panduan Pelajar (Student’s handbook);
iii. Poster;
iv. Brosur; atau
v.  Dokumen-dokumen lain  yang  boleh menyokong maklumat tersebut.</t>
    </r>
  </si>
  <si>
    <t>0 - Tiada
1 – Ada sebahagian daripada maklumat.
2 – Ada objektif, struktur, outline kursus, jadual, jam kredit, LO, kaedah penilaian program
3 - Ada objektif, struktur, outline kursus, jadual, jam kredit, LO, kaedah penilaian program dan disampaikan kepada pelajar</t>
  </si>
  <si>
    <t>1.4.3</t>
  </si>
  <si>
    <t>Koordinator sepenuh masa dan tenaga pengajar TVET (contoh jawatankuasa program) mesti dilantik dan diberi kuasa untuk memastikan pengendalian program dapat dilakukan secara berkesan.</t>
  </si>
  <si>
    <t>Membuat semakan dan pengesahan pelantikan koordinator, tenaga pengajar dan Panel Penilaian Pusat Bertauliah (PPPB) / Jawatankuasa Penilaian SLDN. Antara bukti yang dilihat seperti:
i.   Surat pelantikan
ii.  Carta organisasi
iii. Minit mesyuarat PPPB/Jawatankuasa Penilaian</t>
  </si>
  <si>
    <t>0 - Tiada
1 – Surat lantikan sahaja
2 – Surat PPKSPP bagi Pengajar
3 – Semua dokumen surat lantikan, PPKSPP dan JD.</t>
  </si>
  <si>
    <t>1.4.4</t>
  </si>
  <si>
    <t>Penyedia TVET diwajibkan untuk menyediakan persekitaran yang kondusif untuk proses pengajaran dan pembelajaran</t>
  </si>
  <si>
    <t>Menyemak  dan mengesahkan:
i.  Bilik kuliah dan bengkel disediakan
ii. Sistem pencahayaan dan pengudaraan yang baik
iii. Persekitaran yang sesuai dan kondusif
iv. Keselamatan premis latihan dan bengkel di patuhi (disertakan pengesahan dari agensi berkaitan)</t>
  </si>
  <si>
    <t>0 - Tiada / Ada tetapi tidak selamat.
1 - Ada tetapi tidak kondusif.
3 - Ada, selamat dan kondusif.
Nota
Standard ini dibaca bersama Standard 5.1 dalam bidang 5.0 Sumber Pendidikan.</t>
  </si>
  <si>
    <t>F</t>
  </si>
  <si>
    <t>1.4.5</t>
  </si>
  <si>
    <t>Penyedia TVET mestilah menggalakkan inovasi untuk proses pengajaran dan pembelajaran seperti Work Base Learning (WBL), pembelajaran mod campuran, pembelajaran atas talian, apprenticeship, projek dan sebagainya.</t>
  </si>
  <si>
    <r>
      <rPr>
        <sz val="10"/>
        <color rgb="FF000000"/>
        <rFont val="Arial"/>
        <family val="2"/>
      </rPr>
      <t xml:space="preserve">Menyemak  dan mengesahkan Pengesahan pelaksanaan kaedah pembelajaran yang bersesuaian dengan program. Antara bukti yang dilihat seperti:
i. Pengajaran secara simulasi
ii. E-learning
iii.SLDN / </t>
    </r>
    <r>
      <rPr>
        <i/>
        <sz val="10"/>
        <color rgb="FF000000"/>
        <rFont val="Arial"/>
        <family val="2"/>
      </rPr>
      <t>Work-based learning</t>
    </r>
    <r>
      <rPr>
        <sz val="10"/>
        <color rgb="FF000000"/>
        <rFont val="Arial"/>
        <family val="2"/>
      </rPr>
      <t xml:space="preserve"> atau apa-apa kaedah lain yang bersesuaian bagi pembelajaran dan pengajaran</t>
    </r>
  </si>
  <si>
    <t>0 - Tiada
1 – Ada salah satu
3 – Ada semua</t>
  </si>
  <si>
    <t>1.4.6</t>
  </si>
  <si>
    <t>Penyedia TVET mestilah mendapatkan maklum balas/input daripada pihak berkepentingan untuk menambah baik penyampaian hasil pembelajaran program.</t>
  </si>
  <si>
    <r>
      <rPr>
        <sz val="10"/>
        <color theme="1"/>
        <rFont val="Arial"/>
        <family val="2"/>
      </rPr>
      <t xml:space="preserve">Membuat semakan dan pengesahan terdapat kaedah  mendapatkan maklum balas/input pihak berkepentingan.   Contoh bukti yang dilihat seperti:
i.   Borang maklum balas majikan / </t>
    </r>
    <r>
      <rPr>
        <i/>
        <sz val="10"/>
        <color theme="1"/>
        <rFont val="Arial"/>
        <family val="2"/>
      </rPr>
      <t>course critique</t>
    </r>
    <r>
      <rPr>
        <sz val="10"/>
        <color theme="1"/>
        <rFont val="Arial"/>
        <family val="2"/>
      </rPr>
      <t>;
ii.  Minit mesyuarat atau laporan TAC / Jawatankuasa Penilaian / PPL;
iii. Laporan pendedahan industri/ Latihan industri;atau
iv. Bukti-bukti lain yang bersesuian.</t>
    </r>
  </si>
  <si>
    <t>0 - Tiada
1 – Ada maklumbalas sahaja
2 – Ada maklumbalas dan analisa sahaja
3 – Ada maklumbalas, analisa dan tindakan penambahbaikan</t>
  </si>
  <si>
    <t>1.4.7</t>
  </si>
  <si>
    <t>Penyedia TVET mestilah sentiasa berhubungan dengan pihak industri bagi meningkatkan penyampaian program.</t>
  </si>
  <si>
    <t>Membuat semakan dan pengesahan bagaimana kerjasama industri dilaksanakan. Antara perkara yang boleh disemak:
i.  Minit  mesyuarat Jawankuasa Penilaian; 
ii. Maklumbalas daripada pihak industri contohnya:  buku   log pelatih / perantis  atau   laporan;
iii. Surat kerjasama  / MoU; atau
iv. Dokumen lain yang berkaitan</t>
  </si>
  <si>
    <t>0 - Tiada
1 – TAC sahaja
2 – TAC dan MOU/NOU/LOI tetapi tiada aktiviti
3 – TAC dan MOU/NOU/LOI dan ada aktiviti</t>
  </si>
  <si>
    <t>BIDANG 2:  PENILAIAN PEMBELAJARAN PELAJAR</t>
  </si>
  <si>
    <t>CATATAN APV</t>
  </si>
  <si>
    <t>2.1</t>
  </si>
  <si>
    <t>Hubungan Antara Penilaian dan Hasil
Pembelajaran</t>
  </si>
  <si>
    <t>2.1.1</t>
  </si>
  <si>
    <t>Prinsip,   kaedah   dan amalan penilaian mestilah selari dengan pencapaian hasil pembelajaran program dan konsisten dengan tahap yang dinyatakan dalam MQF.</t>
  </si>
  <si>
    <t>Menyemak dan mengesahkan kaedah pelaksanaan penilaian. Antara bukti yang dilihat adalah dokumen penilaian kemahiran berkaitan</t>
  </si>
  <si>
    <t>0 – Tiada
1 – Ada dan lengkap bagi 1 perkara daripada JPPKK/C/(A3&amp;A4)/B3
2 - Ada dan lengkap 3 perkara daripada JPPKK/ C/ (A3&amp;A4)/B3
3 – Semua dokumen telah dipenuhi
* Dokumen Penilaian / Jadual pembangunan BPDP &amp; Penilaian
JPPKK/ C/ (A3&amp;A4)/B3 ( Jadual Pembahagian Penilaian Kerja Kursus),
C= PENILAIAN KERJA KURSUS (PKK) &amp; PENILAIAN AKHIR DALAMAN (PAD) / PENILAIAN AKHIR (PA) BAGI MODUL TERAS
A3 = Jadual Penetapan Peratusan Masa Aktiviti Pembelajaran  Penilaian (JPPMAPP)  
A4 = Jadual Pembahagian Masa Pembelajaran Bersemuka (JPMPB)
B3 = Kertas Tugasan (Assignment Sheet)</t>
  </si>
  <si>
    <t>2.1.2</t>
  </si>
  <si>
    <t>Penjajaran antara penilaian dan pencapaian hasil pembelajaran program perlu disemak secara sistematik dan berkala untuk memastikan keberkesanan pengukurannya.</t>
  </si>
  <si>
    <t>Rujuk 2.1.1</t>
  </si>
  <si>
    <t>0 – Tiada
1 – Ada dan lengkap bagi 1 perkara daripada JPPKK/C/(A3&amp;A4)/B3
2 - Ada dan lengkap 3 perkara daripada JPPKK/ C/ (A3&amp;A4)/B3
3 – Semua dokumen telah dipenuhi</t>
  </si>
  <si>
    <t>2.1.3</t>
  </si>
  <si>
    <t>Kaedah penilaian untuk mengukur kemahiran praktikal (domain psikomotor) perlu diselaraskan dengan tahap kompetensi untuk memastikan pencapaian kemahiran yang dinyatakan.</t>
  </si>
  <si>
    <t>2.1.4</t>
  </si>
  <si>
    <t>Kaedah penilaian yang digunakan untuk mengukur  kemahiran fungsional, personal dan etika  mestilah selari dengan tahap kompetensi bagi memastikan hasil pembelajaran tercapai.</t>
  </si>
  <si>
    <t>2.2 Kaedah Penilaian</t>
  </si>
  <si>
    <t>2.2.1</t>
  </si>
  <si>
    <t>Kekerapan, kaedah dan  kriteria  penilaian pelajar (termasuk sistem penggredan dan dasar rayuan) perlu didokumenkan dan disebar luas kepada pelajar semasa program berjalan.</t>
  </si>
  <si>
    <r>
      <rPr>
        <sz val="10"/>
        <color theme="1"/>
        <rFont val="Arial"/>
        <family val="2"/>
      </rPr>
      <t xml:space="preserve">Menyemak struktur dan jadual perancangan penilaian dan kaedah penyampaian maklumat kepada pelatih/perantis.
Antara bukti yang dilihat seperti:
i.  Jadual pelaksanaan latihan dan penilaian
ii.  Rekod Bukti Penilaian
iii. Notis Makluman / </t>
    </r>
    <r>
      <rPr>
        <i/>
        <sz val="10"/>
        <color theme="1"/>
        <rFont val="Arial"/>
        <family val="2"/>
      </rPr>
      <t>Website</t>
    </r>
    <r>
      <rPr>
        <sz val="10"/>
        <color theme="1"/>
        <rFont val="Arial"/>
        <family val="2"/>
      </rPr>
      <t xml:space="preserve">
iv. Student’s handbook - Panduan berkaitan pelaksanaan  dan penilaian latihan serta prosedur rayuan</t>
    </r>
  </si>
  <si>
    <t>0 – Tiada
1 – Ada dan lengkap bagi 1 daripada semua perkara
2 - Ada dan lengkap 2 perkara daripada semua perkara
3 – Semua dokumen dan prosedur dipenuhi</t>
  </si>
  <si>
    <t>2.2.2</t>
  </si>
  <si>
    <t>Kaedah dan mekanisme penilaian mestilah pelbagai dan sesuai bagi menilai hasil pembelajaran dan kompetensi.</t>
  </si>
  <si>
    <t>Menyemak dan mengesahkan dokumen penilaian yang disediakan. Antara bukti yang dilihat seperti:
i.   Dokumen penilaian berterusan  dan PenilaianAkhir (PA)
ii.  Penilaian secara dalam talian (Online assessment)
iii. Projek Akhir</t>
  </si>
  <si>
    <t>2.2.3</t>
  </si>
  <si>
    <t>Penyedia TVET hendaklah mempunyai mekanisme dan proses semakan kaedah penilaian pelajar secara berkala dalam memastikan kaedah penilaian yang digunapakai adalah sahih, boleh dipercayai dan terkini.</t>
  </si>
  <si>
    <t>Menyemak kesesuaian mekanisma dan proses semakan semula kaedah penilaian pelatih / perantis melalui penelitian terhadap perkara berikut:
i.    Carta alir Proses pembangunan soalan penilaian berterusan  dan penilaian akhir.
ii.   Proses dan peranan PPPB / TAC / Jawankuasa Penilaian
iii.  Minit  Mesyuarat PPPB/TAC/ Jawankuasa Penilaian
iv.  Dokumen lain yang berkaitan</t>
  </si>
  <si>
    <t>0 – Tiada
1 – Ada lantikan PPPB/TAC &amp; peranan
2 - Ada lantikan PPPB dan TAC &amp; peranan
3 – Ada lantikan PPPB, lantikan TAC dan minit mesyuarat yang lengkap dan menyatakan perkara ini</t>
  </si>
  <si>
    <t>2.2.4</t>
  </si>
  <si>
    <t>Perubahan terhadap kaedah penilaian pelajar hendaklah dilakukan selari dengan prosedur dan peraturan  yang  telah ditetapkan serta dimaklumkan  kepada pelajar  sebelum pelaksanaannya.</t>
  </si>
  <si>
    <r>
      <rPr>
        <sz val="10"/>
        <color theme="1"/>
        <rFont val="Arial"/>
        <family val="2"/>
      </rPr>
      <t xml:space="preserve">Semakan dan mengesahkan mekanisma pemakluman kepada pelatih/perantis.
Contoh bukti yang dilihat seperti:
i.   Notis hebahan/ Notis makluman
ii.  </t>
    </r>
    <r>
      <rPr>
        <i/>
        <sz val="10"/>
        <color theme="1"/>
        <rFont val="Arial"/>
        <family val="2"/>
      </rPr>
      <t>Website</t>
    </r>
    <r>
      <rPr>
        <sz val="10"/>
        <color theme="1"/>
        <rFont val="Arial"/>
        <family val="2"/>
      </rPr>
      <t xml:space="preserve">
iii. Perhimpunan bulanan;
iv. Dan lain-lain</t>
    </r>
  </si>
  <si>
    <t>0 – Ada perubahan tetapi tiada pemakluman
1 – Tiada perubahan kaedah penilaian / ada perubahan dan ada pemakluman</t>
  </si>
  <si>
    <t>2.3 Penilaian Berasakan Kompetensi</t>
  </si>
  <si>
    <t>2.3.1</t>
  </si>
  <si>
    <t>Penilaian berasaskan kecekapan dijalankan sebagai proses pengumpulan bukti mengenai prestasi dan pengetahuan seseorang tentang standard kompetensi sesuatu pekerjaan/industri.
Penilaian  berasaskan kecekapan biasanya bukan satu set peperiksaan.</t>
  </si>
  <si>
    <t>Menyemak dan mengesahkan dokumen penilaian yang dibangunkan mematuhi Sistem Persijilan Kemahiran Malaysia (SPKM) dan memenuhi kriteria penilaian berdasarkan NOSS. Antara bukti yang dilihat seperti:
i.  Dokumen penilaian berterusan dan Penilaian Akhir (PA)
ii. Penilaian secara dalam talian (Online assessment)
iii. Projek Akhir</t>
  </si>
  <si>
    <t>2.4 Pengurusan Penilaian Pelajar</t>
  </si>
  <si>
    <t>2.4.2</t>
  </si>
  <si>
    <t>Perlu ada mekanisme untuk memastikan kerahsiaan dokumen dan rekod penilaian.</t>
  </si>
  <si>
    <t>Menyemak mekanisme memastikan kerahsiaan dokumen dan rekod penilaian. Antara yang boleh disemak seperti:
i.    SOP pengurusan dokumen penilaian dan kerahsiaan
ii.   Lantikan pegawai bertanggungjawab terhadap pengurusan dokumen penilaian
iii.  Borang atau buku rekod yang digunakanbagi pengurusan dokumen penilaian; dan
iv.  Tempat simpanan dokumen penilaian yang mempunyai ciri keselamatan.</t>
  </si>
  <si>
    <t>0 – Tiada
1 – Ada dan lengkap 1 perkara daripada semua perkara
2 - Ada dan lengkap 2 perkara daripada semua perkara
3 – Semua dokumen dan prosedur dipenuhi</t>
  </si>
  <si>
    <t>2.4.3</t>
  </si>
  <si>
    <t>Keputusan penilaian mesti dimaklumkan kepada pelajar sebelum bermulanya semester baharu untuk memudahkan penilaian status pencapaian pelajar.</t>
  </si>
  <si>
    <r>
      <rPr>
        <sz val="10"/>
        <color rgb="FF000000"/>
        <rFont val="Arial"/>
        <family val="2"/>
      </rPr>
      <t xml:space="preserve">Menyemak kesesuaian mekanisma penyampaian keputusan penilaian kepada pelatih/perantis untuk peningkatan tahap seterusnya (Contohnya slip keputusan penilaian yang dijana daripada sistem).
Contoh mekanisma penyampaian:
i.  Training Management System (TMS);
ii.  Email;
iii. </t>
    </r>
    <r>
      <rPr>
        <i/>
        <sz val="10"/>
        <color rgb="FF000000"/>
        <rFont val="Arial"/>
        <family val="2"/>
      </rPr>
      <t>Website</t>
    </r>
    <r>
      <rPr>
        <sz val="10"/>
        <color rgb="FF000000"/>
        <rFont val="Arial"/>
        <family val="2"/>
      </rPr>
      <t>; atau
iv. Apa-apa kaedah penyampaian yang bersesuaian</t>
    </r>
  </si>
  <si>
    <t>0 – Tiada
1 – Ada pemakluman</t>
  </si>
  <si>
    <t>2.4.4</t>
  </si>
  <si>
    <t>Penyedia TVET mesti mempunyai mekanisme dan panduan yang sesuai untuk pelajar membuat rayuan terhadap keputusan penilaian kursus mereka.</t>
  </si>
  <si>
    <r>
      <rPr>
        <sz val="10"/>
        <color theme="1"/>
        <rFont val="Arial"/>
        <family val="2"/>
      </rPr>
      <t xml:space="preserve">Menyemak kesesuaian proses dan mekanisme rayuan. Antara  yang boleh disemak
i.  </t>
    </r>
    <r>
      <rPr>
        <i/>
        <sz val="10"/>
        <color theme="1"/>
        <rFont val="Arial"/>
        <family val="2"/>
      </rPr>
      <t>Student’s handbook</t>
    </r>
    <r>
      <rPr>
        <sz val="10"/>
        <color theme="1"/>
        <rFont val="Arial"/>
        <family val="2"/>
      </rPr>
      <t xml:space="preserve">
ii. Carta alir proses
iii.Dokumen berkaitan.</t>
    </r>
  </si>
  <si>
    <t>0 – Tiada
1 – Ada panduan/ carta alir/ hebahan/ panduan tidak lengkap
3 - Ada panduan yang lengkap dan hebahan</t>
  </si>
  <si>
    <t>2.4.5</t>
  </si>
  <si>
    <t>Penyedia TVET mesti membuat kajian semula terhadap pengurusan penilaian pelajar secara berkala dan mengambil tindakan yang bersesuaian berdasarkan dapatan kajian.</t>
  </si>
  <si>
    <t>Menyemak kesesuaian pengurusan penilaian pelatih/perantis.
Antara dokumen yang boleh disemak:
i.   Minit mesyuarat PPPB/ Jawankuasa Penilaian/ pengurusan
ii.  Laporan penilaian pelatih/perantis; atau
iii. Dokumen lain yang bersesuaian</t>
  </si>
  <si>
    <t>0 – Tiada
1 – Ada Laporan/ Dapatan
2 - Ada Laporan/ Dapatan dan dibincangkan dalam Mesyuarat
3 – Semua dipatuhi</t>
  </si>
  <si>
    <t>BIDANG 3:  PEMILIHAN PELAJAR DAN KHIDMAT SOKONGAN</t>
  </si>
  <si>
    <t>3.1</t>
  </si>
  <si>
    <t>Artikulasi dan Pindahan</t>
  </si>
  <si>
    <t>3.1.4</t>
  </si>
  <si>
    <t>Penyedia TVET dikehendaki menetapkan syarat kemasukan dan menjalankan proses saringan serta bimbingan yang sesuai berdasarkan pencapaian pelajar, bidang dan reka bentuk program bagi membantu pelajar untuk menyelesaikan pengajian mereka. Penyedia TVET digalakkan merekabentuk program akademik atau program TVET yang menyediakan laluan yang jelas kepada graduan TVET.</t>
  </si>
  <si>
    <t>Membuat semakan dan mengesahkan syarat kemasukan dan prosedur saringan bagi pengambilan pelatih selaras dasar yang ditetapkan JPK dan pra- syarat yang ditetapkan dalam NOSS.
Antara dokumen yang boleh disemak seperti:
i.   Polisi / dasar berkaitan;
ii.  Rekod saringan pengambilan pelatih (temuduga/ ujian kemasukan/ portfolio dsb); atau
iii. Dokumen lain yang berkaitan</t>
  </si>
  <si>
    <t>0 – Tiada
1 – Ada dan lengkap bagi 1 perkara daripada semua perkara
2 - Ada dan lengkap 2 perkara daripada semua perkara
3 – Semua dokumen dan prosedur dipenuhi</t>
  </si>
  <si>
    <t>3.1.10</t>
  </si>
  <si>
    <t>Kriteria dan proses pemilihan pelajar mesti telus dan objektif.</t>
  </si>
  <si>
    <t>Menyemak kriteria dan proses pemilihan pelatih / perantis. Antara yang boleh disemak:
i.   Student handbook yang sedang berkuatkuasa;
ii.  Iklan bagi program yang ditawarkan; atau
iii. Platform lain yang bersesuaian</t>
  </si>
  <si>
    <t>0 – Tiada
3 – Ada proses dan lengkap</t>
  </si>
  <si>
    <t>3.1.11</t>
  </si>
  <si>
    <t>Pengambilan pelajar mesti selari dengan keupayaan Penyedia TVET/ Jabatan/ Fakulti yang berkaitan untuk menyampaikan program secara berkesan.
(Standard ini mesti dibaca bersama dengan standard di 4.0 Tenaga Pengajar dan 5.0 Sumber Pendidikan).</t>
  </si>
  <si>
    <t>Menyemak dan meluluskan kapasiti pengambilan pelatih/perantis yang dibenarkan akan dinilai berdasarkan bilangan tenaga pengajar TVET (Standard  4)  dan  sumber latihan (Standard  5) yang boleh disediakan.</t>
  </si>
  <si>
    <t>0 – Tiada Personel atau TEM
1 – Ada Personel tetapi TEM tidak mencukupi (penjadualan)
2 – TEM mencukupi tetapi Personel belum mencukupi nisbah
3 – Semua lengkap</t>
  </si>
  <si>
    <t>3.1.12</t>
  </si>
  <si>
    <t>Perlu ada dasar dan mekanisme rayuan yang jelas bagi pengambilan pelajar.</t>
  </si>
  <si>
    <r>
      <rPr>
        <sz val="10"/>
        <color theme="1"/>
        <rFont val="Arial"/>
        <family val="2"/>
      </rPr>
      <t xml:space="preserve">Menyemak dasar dan mekanisma rayuan bagi pengambilan pelajar
i.   Panduan pengambilan / rayuan pelajar;
ii.  </t>
    </r>
    <r>
      <rPr>
        <i/>
        <sz val="10"/>
        <color theme="1"/>
        <rFont val="Arial"/>
        <family val="2"/>
      </rPr>
      <t>Student handbook</t>
    </r>
    <r>
      <rPr>
        <sz val="10"/>
        <color theme="1"/>
        <rFont val="Arial"/>
        <family val="2"/>
      </rPr>
      <t>;
iii. Keputusan temuduga; atau
iv. Carta alir proses rayuan.</t>
    </r>
  </si>
  <si>
    <t>3.1.13</t>
  </si>
  <si>
    <t>Penyedia TVET mesti menyediakan khidmat sokongan pengukuhan/remedi yang bersesuaian kepada pelajar yang memerlukan.</t>
  </si>
  <si>
    <t>Menyemak rekod atau apa- apa dokumen berkaitan bagi khidmat sokongan yang disediakan.
Contoh: Kaunseling, kewangan, bimbingan,kesihatan</t>
  </si>
  <si>
    <t>0 – Tiada
1 – Ada jadual aktiviti sahaja
2 - Ada pengisian sahaja
3 – Ada jadual dan pengisian</t>
  </si>
  <si>
    <t>3.2 Khidmat Sokongan Pelajar</t>
  </si>
  <si>
    <t>3.2.1</t>
  </si>
  <si>
    <t>Pelajar mesti mempunyai akses kepada khidmat sokongan yang sesuai dan mencukupi, seperti kemudahan fizikal, sosial, kewangan, rekreasi dan dalam talian, kaunseling akademik dan bukan akademik dan perkhidmatan kesihatan.</t>
  </si>
  <si>
    <t>Mengesahkan terdapat kemudahan khidmat sokongan dan prosedur penggunaan fasiliti yang disediakan
i.   Pusat sumber/ruang bacaan
ii.  Sosial-  surau, bilik tv, ruang rehat, pantri dll
iii.  Kewangan- mesin ATM
iv. Rekreasi-  gym,  dewan serbaguna dan lain- lain.
v.  Kemudahan dalam talian – wifi, hotspot dll
vi. Kaunseling akademik dan bukan akademik
vii. Perkhidmatan kesihatan-  bilik  sakit; atau
viii. Lain-lain     kemudahan sokongan yang disediakan</t>
  </si>
  <si>
    <t>0 – Tiada
1 – Ada 2 daripada semua kemudahan
2 - Ada 3 hingga 4 daripada semua kemudahan
3 – Sekurang-kurangnya terdapat 5 kemudahan disediakan</t>
  </si>
  <si>
    <t>3.2.2</t>
  </si>
  <si>
    <t>Penyedia TVET perlu mempunyai unit pentadbiran khusus yang mengendalikan khidmat sokongan pelajar. Individu yang bertanggungjawab merancang dan melaksanakan khidmat sokongan pelajar mestilah mempunyai pengalaman yang bersesuaian.</t>
  </si>
  <si>
    <t>Mengesahkan lantikan dengan skop tugas dan tanggungjawab pentadbiran khidmat sokongan pelatih/ perantis. Antara dokumen boleh disemak:
i.  Surat lantikan, atau
ii.  Apa-apa dokumen berkaitan</t>
  </si>
  <si>
    <t>0 – Tiada
1 – Surat lantikan dan senarai tugas dan tiada pengalaman
2 - Surat lantikan dan senarai tugas dan pengalaman/kelayakan tidak bersesuaian
3 – Surat lantikan dan senarai tugas dan pengalaman/kelayakan bersesuaian</t>
  </si>
  <si>
    <t>3.2.3</t>
  </si>
  <si>
    <t>Program induksi yang berkesan kepada pelajar baru perlu disediakan terutama kepada pelajar luar bandar, pelajar antarabangsa dan pelajar berkeperluan khas.</t>
  </si>
  <si>
    <t>Menyemak  perancangan / pelaksanaan program induksi pelatih/perantis baharu dan  kandungan kursus. 
Boleh semak:
i.   Jadual  perancangan / takwim;
ii.  Program induksi berkaitan / suaikenal;
iii.  Buku program; atau 
iv. Lain-lain platform yang bersesuaian.</t>
  </si>
  <si>
    <t>0 – Tiada
1 – Ada 1 daripada semua perkara
2 - Ada 2 daripada semua perkara
3 – Semua disediakan</t>
  </si>
  <si>
    <t>3.2.4</t>
  </si>
  <si>
    <t>Khidmat kaunseling akademik dan bukan akademik serta kaunseling kerjaya perlu dikendalikan oleh staf yang berkelayakan dan mencukupi.</t>
  </si>
  <si>
    <r>
      <rPr>
        <sz val="10"/>
        <color rgb="FF000000"/>
        <rFont val="Arial"/>
        <family val="2"/>
      </rPr>
      <t xml:space="preserve">Mengesahkan lantikan pembimbing / kaunselor.
Antara yang  boleh disemak:
</t>
    </r>
    <r>
      <rPr>
        <strike/>
        <sz val="10"/>
        <color rgb="FF000000"/>
        <rFont val="Arial"/>
        <family val="2"/>
      </rPr>
      <t>i.   Carta organisasi termasuk Unit Khidmat Kaunseling;</t>
    </r>
    <r>
      <rPr>
        <sz val="10"/>
        <color rgb="FF000000"/>
        <rFont val="Arial"/>
        <family val="2"/>
      </rPr>
      <t xml:space="preserve">
ii.  Surat lantikan sebagai pegawai kaunseling;
iii. Senarai Tugas 
iii. Kaunselor Berdaftar / Rekod hadir kursus asas kaunseling / kursus yang berkaitan; atau
</t>
    </r>
    <r>
      <rPr>
        <strike/>
        <sz val="10"/>
        <color rgb="FF000000"/>
        <rFont val="Arial"/>
        <family val="2"/>
      </rPr>
      <t>iv. Rekod kaunseling atau Mentor/Mentee pelatih/perantis</t>
    </r>
    <r>
      <rPr>
        <sz val="10"/>
        <color rgb="FF000000"/>
        <rFont val="Arial"/>
        <family val="2"/>
      </rPr>
      <t xml:space="preserve">
v.  </t>
    </r>
    <r>
      <rPr>
        <strike/>
        <sz val="10"/>
        <color rgb="FF000000"/>
        <rFont val="Arial"/>
        <family val="2"/>
      </rPr>
      <t>Rekod pencapaian pembimbing (career development programe);</t>
    </r>
    <r>
      <rPr>
        <sz val="10"/>
        <color rgb="FF000000"/>
        <rFont val="Arial"/>
        <family val="2"/>
      </rPr>
      <t xml:space="preserve"> 
vi. L</t>
    </r>
    <r>
      <rPr>
        <strike/>
        <sz val="10"/>
        <color rgb="FF000000"/>
        <rFont val="Arial"/>
        <family val="2"/>
      </rPr>
      <t>aporan penilaian kemahiran sosial dan kemanusiaan (SSSV); atau
vii. Apa-apa dokumen berkaitan</t>
    </r>
  </si>
  <si>
    <t>0 – Tiada
1 – Ada surat lantikan dan senarai tugas
2 - Ada rekod hadir kursus/ berkelayakan
3 – Semua disediakan</t>
  </si>
  <si>
    <t>3.2.5</t>
  </si>
  <si>
    <t>Mesti ada mekanisme untuk mengenal pasti dan membantu pelajar yang memerlukan latihan serta sokongan rohani, psikologi dan sosial secara aktif.</t>
  </si>
  <si>
    <r>
      <rPr>
        <sz val="10"/>
        <color theme="1"/>
        <rFont val="Arial"/>
        <family val="2"/>
      </rPr>
      <t xml:space="preserve">Menyemak mekanisme bersesuaian.  Antara  yang boleh semak seperti:
i. Prosedur/ Proses mengenalpasti pelajar yang memerlukan.
i. Rekod kaunseling atau Mentor/Mentee pelatih/perantis
Penilaian SSSV
ii. </t>
    </r>
    <r>
      <rPr>
        <strike/>
        <sz val="10"/>
        <color theme="1"/>
        <rFont val="Arial"/>
        <family val="2"/>
      </rPr>
      <t>Jadual perancangan</t>
    </r>
    <r>
      <rPr>
        <sz val="10"/>
        <color theme="1"/>
        <rFont val="Arial"/>
        <family val="2"/>
      </rPr>
      <t>;
iii. Buku program;
iv. Surat/memo;
v.  Laporan aktiviti bergambar; atau
vi. Apa-apa bukti  yang berkaitan</t>
    </r>
  </si>
  <si>
    <t>0 – Tiada
1 – Ada prosedur/ proses kenal pasti atau rekod aktiviti
3 – Ada prosedur/ proses kenal pasti dan rekod aktiviti</t>
  </si>
  <si>
    <t>3.2.6</t>
  </si>
  <si>
    <t>Penyedia TVET mesti mempunyai proses dan prosedur yang jelas dan didokumenkan dalam menangani kes-kes disiplin pelajar.</t>
  </si>
  <si>
    <t>Menyemak proses dan prosedur menangani kes disiplin pelatih/perantis. Antara yang boleh disemak:
i.   Apa-apa dokumen yang menjelaskan dasar / prosedur  dalam mengani kes-kes disiplin pelatih/perantis;
ii. Carta alir proses dan prosedur pelaksanaan;
iii Tindakan berdasarkan panduan dan peraturan disiplin; atau
iv. Rekod / Catatan Tindakan tatatertib</t>
  </si>
  <si>
    <t>0 – Tiada
1 – Ada 1 daripada semua perkara
3 – Ada 2 daripada semua perkara</t>
  </si>
  <si>
    <t>3.2.7</t>
  </si>
  <si>
    <t>Penyedia TVET perlu ada mekanisme yang berkesan untuk pelajar menyuarakan ketidakpuasan hati dan pencarian penyelesaian berkaitan program atau lain-lain perkara.</t>
  </si>
  <si>
    <t>Menyemak mekanisme yang disediakan, seperti:
i.  Peti Cadangan;
ii. Laman  sesawang/portal aduan
iii.Hari bersama pelanggan / ibu bapa / pelajar; atau
iv.Dinyatakan di mana- mana platform yang bersesuaian.
Tindakan penyelesaian kepada ketidakpuasan hati berkaitan.</t>
  </si>
  <si>
    <t>0 – Tiada
1 – Ada 1 daripada semua perkara
2 - Ada 2 daripada semua perkara
3 – Ada 3 dan lebih disediakan</t>
  </si>
  <si>
    <t>3.2.8</t>
  </si>
  <si>
    <t>Khidmat sokongan pelajar yang dilaksanakan mestilah dinilai keberkesanannya secara berkala bagi memastikan khidmat yang ditawarkan adalah mencukupi, berkesan dan selamat.</t>
  </si>
  <si>
    <t>Menyemak :
i.  Laporan /  borang kepuasan pelanggan;
ii. Laporan kerosakan peralatan / premis; atau
iii. Apa-apa dokumen yang berkaitan</t>
  </si>
  <si>
    <t>3.3 Perwakilan dan Penglibatan Pelajar</t>
  </si>
  <si>
    <t>3.3.1</t>
  </si>
  <si>
    <t>Penyedia TVET mesti mempunyai mekanisme yang menyokong penglibatan aktif pelajar berkaitan minat dan kebajikan mereka. Mekanisme ini perlu disebarluaskan mengunakan kaedah yang bersesuaian.</t>
  </si>
  <si>
    <t>Menyemak dan mengesahkan pelaksanaan aktiviti berkaitan.</t>
  </si>
  <si>
    <t>0 – Tiada
1 – Ada 1 daripada semua perkara
2 - Ada 2 daripada semua perkara
3 – Ada semua perkara</t>
  </si>
  <si>
    <t>3.3.2</t>
  </si>
  <si>
    <t>Perlu ada perwakilan dan persatuan pelajar yang mencukupi.</t>
  </si>
  <si>
    <t>Membuat semakan kewujudan perwakilan pelajar/perantis. Boleh semak:
i.  Carta organisasi;
ii. Surat/memo lantikan;
iii. Minit mesyuarat;
iv.Jadual aktiviti tahunan/mana-mana platform yang bersesuaian; atau
v. Apa-apa dokumen berkaitan (Tidak Terpakai Bagi PLK/PB  Yang  Mempunyai Pelatih / perantis yang kurang  daripada  50  orang pada sesuatu masa)</t>
  </si>
  <si>
    <t>3.3.3</t>
  </si>
  <si>
    <t>Penyedia TVET perlu membantu pelajar untuk menjalinkan hubungan dengan pihak berkepentingan luaran bagi melancarkan aktiviti peningkatan kemahiran pelajar dalam pengurusan, keusahawanan, inovasi dan kepemimpinan. Ini adalah bagi melengkapkan pelajar dalam menghadapi dunia pekerjaan.</t>
  </si>
  <si>
    <t>Menyemak keterlibatan pelatih / perantis dalam aktiviti kerjasama strategik dengan dengan komuniti tempatan/syarikat/agensi- agensi yang berkaitan/pihak berkepentingan luaran. Antara yang boleh disemak seperti:
i.   Sebarang bentuk dokumen perjanjian/ kesefahaman bertulis;
ii.  Surat jalinan kerjasama / LOI / Surat Niat;
iii. Laporan aktiviti yang meningkatkan kemahiran pengurusan, keusahawanan, inovatif dan kepimpinan sebagai persediaan alam pekerjaan; atau
iv.  Perancangan/takwim aktiviti.
v.  Minit mesyuarat; atau
vi.  Dokumen lain yang berkaitan</t>
  </si>
  <si>
    <t>3.3.4</t>
  </si>
  <si>
    <t>Penyedia TVET perlu membantu aktiviti perwakilan dan persatuan pelajar dalam menyokong penglibatan aktif pelajar dalam aktiviti yang membina karakter, menggalakkan pembelajaran sepanjang hayat, kesepunyaan, bertanggungjawab, nilai antara budaya dan sikap jati diri.</t>
  </si>
  <si>
    <t>Mengesahkan berlaku bantuan/galakan kepada organisasi pelajar untuk pelaksanaan aktiviti. Antara yang boleh disemak:
i.  Jadual aktiviti;
ii.  Laporan aktiviti pelajar/ gambar;
iii.  Kelulusan kertas kerja aktiviti
iv. Minit mesyuarat; atau
v.  Surat / memo; atau
vi.  Apa-apa dokumen berkaitan</t>
  </si>
  <si>
    <t>3.4      Alumni</t>
  </si>
  <si>
    <t>3.4.1</t>
  </si>
  <si>
    <t>Penyedia TVET harus menggalakkan alumni memainkan peranan dalam aktiviti pembangunan, kajian dan penambahbaikan program secara berterusan bagi menghubungkan pelajar dengan industri dan profesion.</t>
  </si>
  <si>
    <t>Menyemak dan mengesahkan platform dan kemudahan dalam menggalakkan alumni memainkan peranan dalam aktiviti pembangunan, kajian dan penambahbaikan program secara  berterusan. Antara yang boleh disemak seperti:
i.   Carta organisasi jawatankuasa alumni / Pendaftaran alumni;
ii.  Minit mesyuarat;
iii. Program alumni; atau
iv. Dokumen lain yang berkaitan</t>
  </si>
  <si>
    <t>BIDANG 4: TENAGA PENGAJAR (TEACHING STAFF)</t>
  </si>
  <si>
    <t>4.1</t>
  </si>
  <si>
    <t>Pengambilan dan Pengurusan</t>
  </si>
  <si>
    <t>4.1.1</t>
  </si>
  <si>
    <t>Penyedia TVET mestilah mempunyai perancangan pengambilan tenaga pengajar yang jelas dan konsisten dengan dasar institusi dan keperluan program.</t>
  </si>
  <si>
    <t>Mengesahkan ada perancangan dan prosedur pengambilan pengajar.</t>
  </si>
  <si>
    <t>0 – Tiada
1 – Ada perancangan
2 - Ada prosedur
3 – Ada perancangan dan prosedur</t>
  </si>
  <si>
    <t>4.1.2</t>
  </si>
  <si>
    <t>Penyedia TVET mesti mempunyai dasar pengambilan tenaga pengajar yang jelas dan didokumenkan di mana kriteria pemilihan tenaga pengajar mestilah berasaskan merit kelayakan akademik dan pengalaman industri.</t>
  </si>
  <si>
    <t>Mengesahkan PLK/PB mempunyai dasar pengambilan  tenaga  pengajar yang jelas berdasarkan kriteria kelayakan yang ditetapkan.</t>
  </si>
  <si>
    <t>0 – Tiada dasar
3 – Ada dasar pengambilan pengajar</t>
  </si>
  <si>
    <t>4.1.10</t>
  </si>
  <si>
    <t>Penyedia TVET mestilah mempunyai tenaga pengajar sepenuh masa yang mencukupi untuk setiap program.
Tenaga pengajar sepenuh masa hendaklah memenuhi keperluan sekurang-kurangnya 60%. Tenaga pengajar separuh masa boleh dilantik dari kalangan ahli akademik atau pengamal industri.</t>
  </si>
  <si>
    <t>Menyemak dan mengesahkan bilangan dan kelayakan personel pentauliahan mengikut ketetapan JPK.</t>
  </si>
  <si>
    <t>0 – Kurang 60% PP &amp; TP (jika berkaitan) sepenuh masa
3 – Lebih 60% PP &amp; TP (jika berkaitan) sepenuh masa</t>
  </si>
  <si>
    <t>4.1.11</t>
  </si>
  <si>
    <t>Dasar pengagihan tanggungjawab/tugas tenaga pengajar Penyedia TVET mestilah adil dan saksama.</t>
  </si>
  <si>
    <t>Mengesahkan maklumat pengagihan tugas adalah seimbang di  kalangan tenaga pengajar. Antara bukti yang boleh disemak seperti:
i.   Carta organisasi program
ii.  Senarai tugas pengajar
iii.  Jadual latihan</t>
  </si>
  <si>
    <t>0 – Tiada
1 – Ada 1 daripada semua perkara
2 - Ada 2 daripada semua perkara
3 – Ada semua</t>
  </si>
  <si>
    <t>4.1.12</t>
  </si>
  <si>
    <t>Polisi dan tatacara pengiktirafan, ganjaran, kenaikan pangkat, kenaikan gaji dan ganjaran lain untuk tenaga
pengajar mestilah jelas dan telus.</t>
  </si>
  <si>
    <t>Mengesahkan dasar, prosedur dan kriteria untuk pengiktirafan melalui kenaikan pangkat, kenaikan gaji atau lain-lain imbuhan tenaga     pengajar adalah jelas dan telus.</t>
  </si>
  <si>
    <t>0 – Tiada dasar
3 – Ada dasar</t>
  </si>
  <si>
    <t>4.1.13</t>
  </si>
  <si>
    <t>Dasar lantikan dan kenaikan pangkat / gaji yang ditetapkan oleh Penyedia TVET mestilah selari dengan polisi dan dasar kebangsaan serta amalan baik antarabangsa.</t>
  </si>
  <si>
    <t>Mengesahkan PB merujuk Dasar Kerajaan atau amalan terbaik antarabangsa dalam proses pelantikan dan kenaikan pangkat.</t>
  </si>
  <si>
    <t>4.1.14</t>
  </si>
  <si>
    <t>Bagi menambah baik pembelajaran dan pengajaran program melalui libat sama para profesional dan pengamal industri, Penyedia TVET mestilah bekerjasama dengan pihak industri dan/atau pihak berkepentingan.</t>
  </si>
  <si>
    <t>Mengesahkan berlaku kerjasama industri dalam penambahbaikan dalam pengajaran dan pembelajaran program. Contoh  bukti yang boleh disemak:
i.   Dokumen kerjasama dengan industri;
ii.  Minit mesyuarat; atau
iii.  Laporan industri.</t>
  </si>
  <si>
    <t>4.2 Perkhidmatan dan Pembangunan</t>
  </si>
  <si>
    <t>4.2.1</t>
  </si>
  <si>
    <t>Penyedia TVET mesti mempunyai dasar yang mengandungi perkara yang berkaitan dengan perkhidmatan, pembangunan dan penilaian tenaga pengajar.</t>
  </si>
  <si>
    <t>Mengesahkan PLK/PB mempunyai dasar berkaitan perkhidmatan, pembangunan dan penilaian tenaga pengajar. Contoh bukti yang boleh disemak:
i.  Borang penilaian prestasi staf,
ii. Borang maklum balas program : penilaian 
    pengajar (oleh pelajar), atau
iii.Perancangan latihan staf</t>
  </si>
  <si>
    <t>4.2.2</t>
  </si>
  <si>
    <t>Tenaga pengajar perlu diberikan autonomi yang mencukupi bagi memberi ruang kepada mereka untuk menumpukan dalam bidang kepakaran masing- masing.</t>
  </si>
  <si>
    <t>Mengesahkan melalui semakan
i. Surat lantikan; dan
ii.Senarai tugas atau deskripsi tugas tenaga pengajar mengikut program.</t>
  </si>
  <si>
    <t>0 – Tiada
1 – Ada salah satu
3 – Semua ada</t>
  </si>
  <si>
    <t>4.2.3</t>
  </si>
  <si>
    <t>Penyedia TVET mesti mempunyai dasar dan prosedur yang jelas dalam menangani isu berkaitan disiplin dan konflik kepentingan terutamanya berkaitan etika kerja/profesional, kerja sambilan, kerja di pelbagai organisasi dan khidmat perundingan.</t>
  </si>
  <si>
    <t>Mengesahkan keterangan dasar atau prosedur dilaksanakan berkaitan pengendalian kes-kes disiplin tenaga pengajar.</t>
  </si>
  <si>
    <t>4.2.4</t>
  </si>
  <si>
    <t>Penyedia TVET mesti mempunyai mekanisme dan proses penilaian pelajar terhadap tenaga pengajar secara berkala bagi tujuan peningkatan kualiti pembelajaran dan pengajaran.</t>
  </si>
  <si>
    <t>Mengesahkan mekanisme dan proses penilaian berkala. Contoh bukti yang boleh disemak:
i.   Dokumen panduan atau peraturan;
ii.  Borang maklum balas program : penilaian
     pengajar (oleh pelajar),
iii.  Analisa maklum balas
iv. Tindakan penambahbaikan; atau
v.  Apa-apa dokumen yang berkaitan</t>
  </si>
  <si>
    <t>4.2.5</t>
  </si>
  <si>
    <t>Penyedia TVET mesti mempunyai program pembangunan dan peningkatan profesional yang berterusan termasuk program induksi kepada tenaga pengajar.</t>
  </si>
  <si>
    <t>Menyemak dan mengesahkan pelan perancangan program pembangunan profesional dan kemajuan kerjaya tenaga pengajar. Contoh bukti yang boleh disemak:
i.   Sasaran kerja tahunan;
ii.  Perancangan Kursus / latihan tahunan pengajar;
iii. Rekod atau laporan Continuous Profesional Development (CPD);
iv. Induksi berkaitan;
v.  Program Peningkatan kemahiran;
vi. Penyertaan pertandingan / seminar / Conference / Kolokium;
vii. Insentif yang disediakan untuk menyokong membantu tenaga pengajar untuk meningkatkan kepakaran dalam pengajaran selaras dengan trend semasa dalam pedagogi, reka bentuk kurikulum, bahan pengajaran dan penilaian; atau
viii. Latihan Sangkutan Industri (LSI)</t>
  </si>
  <si>
    <t>0 – Tiada
3 – Sekurang-kurangnya 1</t>
  </si>
  <si>
    <t>4.2.6</t>
  </si>
  <si>
    <t>Penyedia TVET mesti memastikan semua tenaga pengajar mengambil bahagian dalam latihan sangkutan perindustrian untuk tempoh kumulatif satu bulan dalam setiap dua tahun.</t>
  </si>
  <si>
    <t>Menyemak pelan perancangan bagi pelaksanaan pengajar TVET mengikuti latihan sangkutan industri untuk tempoh kumulatif satu bulan setiap 2 tahun (Bagi permohonan Pentauliahan Pembaharuan Program) Menyemak dan mengesahkan laporan pelaksanaan latihan sangkutan industri
*Kriteria ini akan berkuatkuasa pada Tahun 2026</t>
  </si>
  <si>
    <t>0 – Tidak hadir/ tiada perancangan
3 – Hadir/ ada perancangan</t>
  </si>
  <si>
    <t>4.2.7</t>
  </si>
  <si>
    <t>Penyedia TVET mesti memberi peluang kepada tenaga pengajar untuk mengambil bahagian dalam latihan profesional dan lain-lain latihan yang relevan di peringkat kebangsaan dan antarabangsa untuk mendapatkan kelayakan profesional bagi meningkatkan keberkesanan pembelajaran dan pengajaran.</t>
  </si>
  <si>
    <t>Menyemak dan mengesahkan pelaksanaan insentif dan galakan diberikan kepada pengajar. Contoh  bukti  yang boleh disemak:
i.   Sijil kursus/seminar/ persidangan
ii.  Laporan
iii. Dokumen berkaitan yang berkaitan</t>
  </si>
  <si>
    <t>0 – Tiada
1 – Ada 1 daripada semua perkara
2 - Ada 2 daripada semua perkara
3 – Ada semua/ mengambil bahagian di peringkat antarabangsa</t>
  </si>
  <si>
    <t>4.2.8</t>
  </si>
  <si>
    <t>Penyedia TVET mesti memberi galakan dan memudahkan tenaga pengajar bergiat aktif dalam aktiviti komuniti.</t>
  </si>
  <si>
    <t>Menyemak pelaksanaan PLK/PB  dalam  menggalakkan dan memudahkan staf akademik memainkan peranan aktif       dalam penglibatan komuniti.  Contoh   bukti  yang boleh disemak:
i.  Perancangan aktiviti/Takwim tahunan;
ii.  Sijil Penghargaan; atau
iii. Insentif yang disediakan
iv. Dokumen  lain yang berkaitan</t>
  </si>
  <si>
    <t>0 – Tiada
1 – Ada 1 daripada semua perkara
3 - Ada 2 dan lebih disediakan</t>
  </si>
  <si>
    <t>BIDANG 5:  KEMUDAHAN</t>
  </si>
  <si>
    <t>5.1</t>
  </si>
  <si>
    <t>Kemudahan Fizikal</t>
  </si>
  <si>
    <t>5.1.1</t>
  </si>
  <si>
    <t>Penyedia TVET mesti menyediakan kemudahan fizikal dan sumber latihan yang mencukupi, relevan dan sesuai pada permulaan program untuk memastikan penghantarannya yang efektif termasuk kemudahan untuk program berasaskan praktikal dan bagi mereka yang mempunyai keperluan khas.</t>
  </si>
  <si>
    <t>Menyemak dan menilai kecukupan kemudahan fizikal seperti yang disenaraikan.</t>
  </si>
  <si>
    <t>0 – Tidak memenuhi
1 – Memenuhi TEM melalui MOU/ Surat Kebenaran Penggunaan
2 - Memenuhi senarai TEM secara penjadualan
3 – Memenuhi senarai TEM</t>
  </si>
  <si>
    <t>5.1.2</t>
  </si>
  <si>
    <t>Penyedia TVET boleh menggunakan peralatan dan kemudahan sehingga 40% di premis luar untuk akitiviti pengajaran dan pembelajaran.</t>
  </si>
  <si>
    <t>Menyemak  dan mengesahkan perkara berikut:
i.  Dokumen kerjasama PLK/PB dengan rakan industri / pihak  yang berkaitan, bagi penggunaan peralatan dan kemudahan.
ii. Jadual latihan dan penggunaan peralatan dan  kemudahan di premis luar sejajar dengan keperluan program</t>
  </si>
  <si>
    <t>0 – Tidak memenuhi
3 – Memenuhi semua/ tiada keperluan MOU</t>
  </si>
  <si>
    <t>5.1.3</t>
  </si>
  <si>
    <t>Kemudahan fizikal dan sumber latihan penyedia dan, sekiranya berkenaan, rakan kerjasama, mesti mematuhi undang- undang dan peraturan yang berkaitan.</t>
  </si>
  <si>
    <t>Menyemak bukti pematuhan kemudahan fizikal kepada undang- undang dan peraturan yang berkaitan termasuk isu perlesenan. Antara perkara yang boleh disemak ialah:
i.   Manual  penggunaan mesin;
ii.  Jadual penyelenggaraan; atau
iii. Dokumen perlesenan dari Pihak Berkuasa berkaitan mengikut keperluan.</t>
  </si>
  <si>
    <t>0 – Tidak memenuhi
3 – Memenuhi semua/ tiada keperluan</t>
  </si>
  <si>
    <t>5.1.4</t>
  </si>
  <si>
    <t>Perpustakaan atau pusat sumber mestilah mempunyai bahan rujukan fizikal dan / atau online yang mencukupi dan terkini, komputer dan akses internet.
*Program di bawah JPK hanya perlu mempunyai pusat sumber sahaja.</t>
  </si>
  <si>
    <t>Mengesahkan perkara berikut:
i.  Perpustakaan dibuktikan secara fizikal dan bahan rujukan berserta internet atau e- library; atau
ii. Pusat  sumber / sudut bacaan dibuktikan secara  fizikal  dan bahan rujukan.</t>
  </si>
  <si>
    <t>0 – Tidak memenuhi
1 – Ada sudut bacaan dan bahan rujukan berkaitan dengan program
2 - Ada perpustakaan/ pusat sumber beserta internet atau e-library tetapi bahan rujukan fizikal tidak berkaitan dengan program
3 – Memenuhi semua</t>
  </si>
  <si>
    <t>5.1.5</t>
  </si>
  <si>
    <t>Sumber latihan, perkhidmatan dan kemudahan mesti dikaji semula secara berkala dan diperbaiki untuk mengekalkan kualiti dan kesesuaian mereka untuk pendidikan dan latihan semasa.</t>
  </si>
  <si>
    <t>Mengesahkan bahawa sumber latihan, perkhidmatan dan kemudahan dikaji secara berkala bagi mengekalkan kualiti dan kesesuaian untuk pendidikan latihan semasa. Antara perkara yang boleh disemak ialah:
i.  Minit mesyuarat Jawankuasa Penilaian;
ii. Minit mesyuarat PPPB yang telah disahkan oleh Panel Penilaian Pusat Bertauliah (PPPB) bagi membuktikan penilaian dan pencapaian hasil pembelajaran program disemak secara sistematik dan berkala (Bagi PLK/PB SLaPB sahaja); atau
iii. Lain-lain dokumen / bukti yang berkaitan</t>
  </si>
  <si>
    <t>0 – Tiada
1 – Ada 1 daripada semua perkara
3 – Ada 2 dan lebih perkara</t>
  </si>
  <si>
    <t>5.1.6</t>
  </si>
  <si>
    <t>Penyedia TVET mesti memperuntukkan dana yang mencukupi untuk menjalankan penyelenggaraan terjadual semua kemudahan dan peralatan termasuk penggantian dan naik taraf.</t>
  </si>
  <si>
    <t>Menyemak  bajet  tahunan bagi  penyelenggaran  dan rekod penyelenggaraan melalui semakan perkara berikut :
i.  Rekod bajet tahunan; dan
ii. Rekod penyelenggaraan.</t>
  </si>
  <si>
    <t>5.3 Sumber Kewangan</t>
  </si>
  <si>
    <t>5.3.1</t>
  </si>
  <si>
    <t>Penyedia TVET mesti mempunyai prosedur yang jelas untuk memastikan perancangan kewangan yang berkesan dan penggunaan sumber yang cekap.</t>
  </si>
  <si>
    <t>Menyemak bukti berkaitan pengurusan sumber kewangan yang berkesan dan cekap. Contoh bukti yang boleh disemak :
i.  Laporan pengurusan kewangan dalaman.
ii. Minit mesyuarat pengurusan kewangan; atau
iii. Lain-lain bukti berkaitan</t>
  </si>
  <si>
    <t>0 – Tiada
1 – Ada 1 daripada semua perkara
3 - Ada 2 daripada semua perkara</t>
  </si>
  <si>
    <t>5.3.2</t>
  </si>
  <si>
    <t>Penyedia TVET mesti mempunyai dana yang mencukupi untuk menjalankan semua aktiviti latihan dan pendidikan yang diperlukan untuk mencapai hasil pembelajaran.</t>
  </si>
  <si>
    <t>Menyemak bukti berkaitan kelestarian institusi.Contoh  bukti  yang boleh disemak:
i.   Laporan pengurusan kewangan dalaman.
ii.  Minit mesyuarat pengurusan kewangan; atau
iii. Dokumen lain yang berkaitan</t>
  </si>
  <si>
    <t>BIDANG 6:  PENGURUSAN PROGRAM</t>
  </si>
  <si>
    <t>6.1</t>
  </si>
  <si>
    <t>Governan</t>
  </si>
  <si>
    <t>6.1.1</t>
  </si>
  <si>
    <t>Berteraskan prinsip tanggungjawab, akauntabiliti dan ketelusan, Penyedia TVET mestilah jelas tentang struktur pengurusan, fungsi dan hubung kait di antaranya. Perkara ini perlulah dihebahkan kepada pihak yang berkaitan.</t>
  </si>
  <si>
    <t>a.   Mengesahkan struktur pengurusan, fungsi  dan  hubung kait antaranya.
b.   Menyemak  hebahan yang dibuat oleh PLK mengenai struktur pengurusan kepada semua pihak yang terlibat.
Contoh bukti yang boleh disemak:
 i.  Carta organisasi yang terkini dipamerkan; dan
ii. Surat lantikan semasa bagi personel dikemukakan; atau
iii. Lain-lain bukti yang berkaitan</t>
  </si>
  <si>
    <t>0- Tiada
1- Ada 1 daripada semua perkara
2- Ada 2 daripada semua perkara
3- Ada semua perkara</t>
  </si>
  <si>
    <t>6.1.2</t>
  </si>
  <si>
    <t>Penyedia TVET mesti mempunyai polisi, prosedur dan mekanisme untuk mengkaji dan mengemas kini struktur, fungsi, strategi dan aktiviti terasnya secara berkala bagi memastikan peningkatan kualiti berterusan.</t>
  </si>
  <si>
    <t>Mengesahkan PLK/PB mempunyai mekanisme kajian atau pengemaskinian struktur,fungsi,strategi dan aktiviti utama yang dijalankan. Contoh bukti yang boleh disemak:
i.   Dokumen ISO;
ii.  Kajian kumpulan pengurusan;
iii. Kumpulan peningkatan kualiti;
iv. Inovasi;
v. Apa-apa pertandingan/ projek yang meningkatkan kualiti;
vi. Minit mesyuarat yang menunjukkan perbincangan peningkatan kualiti; atau
vii.TNA dan sebagainya
viii.Apa-apa dokumen lain yang berkaitan</t>
  </si>
  <si>
    <t>6.1.3</t>
  </si>
  <si>
    <t>Lembaga akademik/ jawatankuasa jabatan/Penyedia TVET mestilah diberikan autonomi yang mencukupi bagi membolehkannya bergiat aktif dalam membangunkan polisi.</t>
  </si>
  <si>
    <t>Menyemak :
a.  Pelantikan Jawankuasa Penilaian
b.  Skop dan peranan Jawankuasa Penilaian
c.  Bukti pelaksanaan tugas  dan tanggungjawab Jawankuasa Penilaian. 
Antara bukti yang boleh disemak ialah:
i.    Minit  mesyuarat Jawatankuasa pengurusan / Jawatankuasa Panel Penilai Pusat Bertauliah (PPPB) / Jawankuasa Penilaian 
ii.    Memo/surat berkaitan dengan polisi; atau
iii.   Apa-apa dokumen lain yang berkaitan</t>
  </si>
  <si>
    <t>6.1.4</t>
  </si>
  <si>
    <t>Penyedia TVET mesti mewujudkan mekanisme tertentu bagi memastikan integrasi fungsional dan keselarasan kualiti program di kampus / institusi / industri rakan kongsi yang berlainan lokasi.</t>
  </si>
  <si>
    <t>Menyemak mekanisme untuk memastikan integrasi fungsional dan keselarasan kualiti pendidikan bagi program yang dijalankan.
Antara bukti yang boleh disemak ialah:
i.    Apa-apa bentuk dokumen  kerjasama bagi tujuan latihan (Bagi program kerjasama dengan industri/  rakan kongsi)
ii.    Nota/Bahan Pembelajaran yang seragam (Merujuk pentauliahan induk);
iii.   Minit mesyuarat program dengan industri/rakankongsi; atau
iv.   Lain-lain bukti berkaitan</t>
  </si>
  <si>
    <t>0- Tiada
3- Sekurang-kurangnya satu / tidak berkenaan bagi PLK yang tiada kampus cawangan</t>
  </si>
  <si>
    <t>6.1.5</t>
  </si>
  <si>
    <t>Penyedia TVET mestilah mempunyai jawatankuasa yang bertanggungjawab terhadap proses konsultasi/ maklum balas dalaman dan luaran serta analisis kebolehpasaran graduan.
(Standard ini mesti dibaca bersama dengan standard 1.2.2, 1.3.6 dan 1.4.6 dalam Bidang “1.0 Pembangunan dan Penyampaian Program”).</t>
  </si>
  <si>
    <t>Menyemak dan mengesahkan analisa Kaji  Selidik  Pengesanan Graduan (Tracer Study).
Antara bukti yang boleh disemak ialah:
i.    Analisa Kaji Selidik (Tracer Study)/ pengesanan graduan;
ii.   Minit mesyuarat Jawatankuasa pengurusan; atau
iii.  Jawatankuasa Penilaian SLDN; atau
iv.  Lain-lain bukti yang berkaitan</t>
  </si>
  <si>
    <t>6.1.6</t>
  </si>
  <si>
    <t>Penyedia TVET mesti melibatkan tenaga pengajar, pelajar dan pihak berkepentingan dalam tadbir urus program.</t>
  </si>
  <si>
    <t>Menyemak dan mengesahkan penglibatan tenaga pengajar, wakil pelatih/perantis dan pihak berkepentingan.
Contoh bukti yang boleh disemak ialah:
i.  Minit mesyuarat; atau
ii.  Panggilan mesyuarat; atau
iii. Lain-lain bukti berkaitan
Catatan:
Penubuhan Majlis Perwakilan Pelajar (MPP) bagi PLK/PB yang mempunyai bilangan pelatih / perantis 50 ke atas.</t>
  </si>
  <si>
    <t>0- Tiada
3-Sekurang-kurangnya 1 perkara (PB Baharu dan Tambah Program,
3-Semua (bagi Pembaharuan)</t>
  </si>
  <si>
    <t>6.2 Kepimpinan Program</t>
  </si>
  <si>
    <t>6.2.2</t>
  </si>
  <si>
    <t>Kepimpinan program mesti diterajui oleh individu yang mempunyai kelayakan dan pengalaman yang bersesuaian serta mempunyai autonomi yang mencukupi dalam reka bentuk, penyampaian dan semakan semula kurikulum.</t>
  </si>
  <si>
    <t>Mengesahkan maklumat mengenai Ketua Program / Pengurus Pusat Bertauliah (PPB) merujuk kepada perakuan yang dikeluarkan oleh JPK.</t>
  </si>
  <si>
    <t>0 – Tiada
3 – Ada</t>
  </si>
  <si>
    <t>6.2.3</t>
  </si>
  <si>
    <t>Penyedia TVET perlu mewujudkan mekanisme dan proses yang tertentu bagi memastikan komunikasi di antara Ketua Program, jabatan dan Penyedia TVET berjalan dengan lancar terutama berkaitan pengambilan dan latihan kakitangan, kemasukan pelajar, peruntukan sumber dan pembuatan keputusan.</t>
  </si>
  <si>
    <t>Menyemak dan mengesahkan ketetapan mekanisme  dan  proses berkaitan dengan pengambilan dan latihan kakitangan, kemasukan pelajar, peruntukan sumber dan proses membuat keputusan di antara ketua program, jabatan dan PLK/PB. Antara  bukti  yang  boleh disemak ialah:
i.   Minit mesyuarat pengurusan
ii.  Minggu orientasi
iii. Jadual perancangan pelaksanaan atau
iv. Taklimat</t>
  </si>
  <si>
    <t>0 – Tiada
3 – Ada semua</t>
  </si>
  <si>
    <t>6.3 Staf Pentadbiran</t>
  </si>
  <si>
    <t>6.3.1</t>
  </si>
  <si>
    <t>Penyedia TVET mesti mempunyai bilangan staf pentadbiran yang mencukupi dan berkelayakan dengan pengalaman yang relevan bagi menyokong pelaksanaan program dan aktiviti berkaitan.</t>
  </si>
  <si>
    <t>Menyemak dan mengesahkan struktur staf pentadbiran yang menyokong program. Antara bukti yang boleh disemak ialah:
i.  Carta organisasi kakitangan pentadbiran;
ii. Surat lantikan/CV staf pentadbiran; atau
iii. Lain-lain dokumen berkaitan.</t>
  </si>
  <si>
    <t>6.3.2</t>
  </si>
  <si>
    <t>Penyedia TVET mesti menjalankan penilaian prestasi secara berkala terhadap staf pentadbiran program.</t>
  </si>
  <si>
    <t>Menyemak dan mengesahkan mekanisma pelaksnaan Penilaian Prestasi terhadap kakitangan pentadbiran. 
Antara bukti yang boleh disemak ialah:
i.   Borang Penilaian Prestasi pekerja atau;
ii.  Lain-lain dokumen yang berkaitan</t>
  </si>
  <si>
    <t>6.3.3</t>
  </si>
  <si>
    <t>Penyedia TVET mesti menyediakan pelan latihan yang sesuai untuk kemajuan staf
pentadbiran serta memenuhi keperluan khusus program.</t>
  </si>
  <si>
    <t>Menyemak dan mengesahkan pelan latihan yang sesuai untuk kemajuan  staf pentadbiran serta memenuhi keperluan khusus program.
Antara  bukti  yang  boleh disemak ialah:
i.  Jadual Perancangan Latihan untuk kakitangan pentadbiran atau;
ii.  Lain-lain dokumen yang berkaitan</t>
  </si>
  <si>
    <t>6.4 Pengurusan Rekod</t>
  </si>
  <si>
    <t>6.4.1</t>
  </si>
  <si>
    <t>Penyedia TVET mesti mempunyai polisi dan pelaksanaan yang bersesuaian berkaitan sistem keselamatan rekod tenaga pengajar dan pelajar.</t>
  </si>
  <si>
    <t>Menyemak atau mengesahkan dasar dan pelaksanaan yang bersesuaian berkaitan sistem  keselamatan rekod tenaga pengajar dan pelajar. Antara bukti yang boleh disemak ialah:
i.  Dasar dan polisi sistem  keselamatan rekod.
ii. Rekod penyimpanan dan pelupusan rekod pelajar, tenaga pengajar  dan  rekod akademik;
iii. Bilik fail/ rak penyimpanan dokumen yang sesuai; atau
iv. Pengrekodan keluar masuk fail</t>
  </si>
  <si>
    <t>0- Tiada
1- Ada 1 daripada semua perkara
2- Ada 2 daripada semua perkara
3- Ada 3 dan lebih perkara</t>
  </si>
  <si>
    <t>6.4.2</t>
  </si>
  <si>
    <t>Penyedia TVET mesti melaksanakan polisi mengenai hak privasi individu dan kerahsiaan rekod.</t>
  </si>
  <si>
    <t>Menyemak atau mengesahkan pelakanaan dasar mengenai hak privasi individu dan kerahsiaan rekod. Antara bukti yang boleh disemak ialah:
i.  Dasar;
ii. Polisi; atau
iii. Prosedur berkaitan.</t>
  </si>
  <si>
    <t>0- Tiada
1- Ada 1 daripada semua perkara
3- Ada semua perkara</t>
  </si>
  <si>
    <t>6.4.3</t>
  </si>
  <si>
    <t>Penyedia TVET mestilah sentiasa menyemak semula polisi keselamatan rekod termasuk mempertingkatkan penggunaan teknologi elektronik dan sistem keselamatan.</t>
  </si>
  <si>
    <t>Menyemak atau mengesahkan ketetapan mengenai semakan semula polisi keselamatan rekod termasuk mempertingkatkan penggunaan teknologi elektronik dan sistem keselamatan. Antara bukti yang boleh disemak ialah:
i.  Dasar dan polisi;
ii. Minit Mesyuarat; atau
iii.Penggunaan teknologi elektronik dan sistem keselamatan</t>
  </si>
  <si>
    <t>BIDANG 7:  PEMANTAUAN SERTA SEMAKAN SEMULA PROGRAM DAN PENAMBAHBAIKAN KUALITI BERTERUSAN</t>
  </si>
  <si>
    <t>7.1</t>
  </si>
  <si>
    <t>Mekanisme Pemantauan serta Semakan Semula Program dan Penambahbaikan Kualiti Berterusan</t>
  </si>
  <si>
    <t>7.1.2</t>
  </si>
  <si>
    <t>Penyedia TVET mesti mempunyai staf atau unit khusus yang bertanggungjawab berkaitan jaminan kualiti dalaman (internal quality assurance, IQA).</t>
  </si>
  <si>
    <t>Mengesahkan Jawankuasa Penilaian yang dilantik berkaitan jaminan kualiti dalaman (IQA). Antara bukti yang boleh disemak ialah:
i. Surat lantikan ahli Jawankuasa Penilaian dan ada dinyatakan tanggungjawab berkaitan jaminan kualiti dalaman (IQA); atau
ii. Carta organisasi Jawankuasa Penilaian yang bertanggungjawab berkaitan jaminan kualiti dalaman (IQA).</t>
  </si>
  <si>
    <t>7.1.6</t>
  </si>
  <si>
    <t>Bagi memastikan peningkatan kualiti berterusan, penyedia TVET mestilah menganalisis pelbagai aspek pencapaian pelajar yang merangkumi prestasi, kemajuan dan keciciran pelajar.</t>
  </si>
  <si>
    <t>Menyemak laporan analisa pencapaian pelajar. Antara bukti yang boleh disemak termasuklah: 
i.   Analisa Kaji Selidik (Tracer Study) / pengesanan graduan
ii.  Minit mesyuarat Jawatankuasa pengurusan
iii. Minit mesyuarat Jawankuasa Penilaian
iv. Lain-lain dokumen yang berkaitan.</t>
  </si>
  <si>
    <t>7.1.9</t>
  </si>
  <si>
    <t>Penyedia TVET perlu pastikan terdapat hubung kait antara proses jaminan kualiti dalaman jabatan dengan pencapaian matlamat institusi.</t>
  </si>
  <si>
    <t>Menyemak dan mengesahkan proses jaminan   kualiti   dalaman PLK/PB seiring dengan pencapaian matlamat institusi. Antara bukti yang boleh disemak termasuklah:
i.   Manual kualiti;
ii.  Laporan audit dalaman; atau
iii. Lain-lain dokumen yang berkaitan</t>
  </si>
  <si>
    <t>0 – Tiada
3 – Ada semua (P, T)/ item i (B)</t>
  </si>
  <si>
    <t>7.1.10</t>
  </si>
  <si>
    <t>Penyedia TVET mestilah melibatkan pihak industri dalam membangunkan instrumen penilaian kualiti graduan.</t>
  </si>
  <si>
    <t>Menyemak  dan mengesahkan penglibatan industri dalam pembangunan instrumen penilaian  kualiti  graduan. Antara bukti yang boleh disemak ialah :
i.   Instrumen penilaian;
ii.  Surat / Memo lantikan;
iii. Minit mesyuarat Jawankuasa Penilaian; atau
iv. Apa-apa dokumen berkaitan</t>
  </si>
  <si>
    <t>0- Tiada
1- Ada 1 daripada semua perkara
2- Ada 2 daripada semua perkara
3- Ada 3 daripada semua perkara</t>
  </si>
  <si>
    <t>7.1.11</t>
  </si>
  <si>
    <t>Penyedia TVET perlu menyediakan indikator untuk mengukur kepuasan industri terhadap kualiti graduan TVET bagi tujuan kebolehpasaran.</t>
  </si>
  <si>
    <t>Menyemak dan mengesahkan indikator untuk mengukur kepuasan industri yang diguna pakai.</t>
  </si>
  <si>
    <t>JENIS PERMOHONAN</t>
  </si>
  <si>
    <t>JUMLAH STANDARD 
BERKAITAN</t>
  </si>
  <si>
    <t>JUMLAH 
SKOR MAKSIMUM</t>
  </si>
  <si>
    <t>JUMLAH 
SKOR 
DIPEROLEHI</t>
  </si>
  <si>
    <t>% MARKAH DIPEROLEHI</t>
  </si>
  <si>
    <t>PROGRAM BAHARU</t>
  </si>
  <si>
    <t>PEMBAHARUAN</t>
  </si>
  <si>
    <t>PENAMBAHAN PROGRAM</t>
  </si>
  <si>
    <t>F. ULASAN KESELURUHAN (Penemuan/ Komen/ Cadangan Penambahbaikan)</t>
  </si>
  <si>
    <t>G. COPTPA : PERATUSAN MARKAH DIPEROLEHI MENGIKUT BIDANG</t>
  </si>
  <si>
    <t>BIDANG</t>
  </si>
  <si>
    <t>BIDANG 1 (Pembangunan Dan Penyampaian Program)</t>
  </si>
  <si>
    <t>BIDANG 2 
(Penilaian Pembelajaran Pelatih)</t>
  </si>
  <si>
    <t>BIDANG 3 (Pemilihan Pelatih dan Khidmat Sokongan)</t>
  </si>
  <si>
    <t>BIDANG 4 (Tenaga Pengajar)</t>
  </si>
  <si>
    <t>BIDANG 5 (Kemudahan)</t>
  </si>
  <si>
    <t>BIDANG 6 (Pengurusan Program)</t>
  </si>
  <si>
    <t>BIDANG 7 (Pemantauan Serta Semakan Semula Program Dan 
Penambahbaikan 
Kualiti Berterusan)</t>
  </si>
  <si>
    <t>PERATUSAN MARKAH KESELURUHAN</t>
  </si>
  <si>
    <t>% Markah</t>
  </si>
  <si>
    <t xml:space="preserve">H. SYOR VERIFIKASI </t>
  </si>
  <si>
    <t>Kod NOSS</t>
  </si>
  <si>
    <t>Syor Panel</t>
  </si>
  <si>
    <r>
      <rPr>
        <sz val="11"/>
        <color theme="1"/>
        <rFont val="Arial"/>
        <family val="2"/>
      </rPr>
      <t>Sokong</t>
    </r>
    <r>
      <rPr>
        <sz val="11"/>
        <color theme="1"/>
        <rFont val="Arial"/>
        <family val="2"/>
      </rPr>
      <t xml:space="preserve"> / Tidak Sokong</t>
    </r>
  </si>
  <si>
    <r>
      <rPr>
        <sz val="11"/>
        <color theme="1"/>
        <rFont val="Arial"/>
        <family val="2"/>
      </rPr>
      <t>Sokong</t>
    </r>
    <r>
      <rPr>
        <sz val="11"/>
        <color theme="1"/>
        <rFont val="Arial"/>
        <family val="2"/>
      </rPr>
      <t xml:space="preserve"> / Tidak Sokong</t>
    </r>
  </si>
  <si>
    <r>
      <rPr>
        <sz val="11"/>
        <color theme="1"/>
        <rFont val="Arial"/>
        <family val="2"/>
      </rPr>
      <t>Sokong</t>
    </r>
    <r>
      <rPr>
        <sz val="11"/>
        <color theme="1"/>
        <rFont val="Arial"/>
        <family val="2"/>
      </rPr>
      <t xml:space="preserve"> / Tidak Sokong</t>
    </r>
  </si>
  <si>
    <t>I. PERAKUAN PANEL</t>
  </si>
  <si>
    <r>
      <rPr>
        <sz val="11"/>
        <color theme="1"/>
        <rFont val="Arial"/>
        <family val="2"/>
      </rPr>
      <t>Kami mengesahkan bahawa Lawatan Penentusahan Pentauliahan Program</t>
    </r>
    <r>
      <rPr>
        <b/>
        <sz val="11"/>
        <color theme="1"/>
        <rFont val="Arial"/>
        <family val="2"/>
      </rPr>
      <t xml:space="preserve"> </t>
    </r>
    <r>
      <rPr>
        <sz val="11"/>
        <color theme="1"/>
        <rFont val="Arial"/>
        <family val="2"/>
      </rPr>
      <t xml:space="preserve">telah dilakukan terhadap permohonan ini. Kami juga bertanggungjawab sepenuhnya terhadap laporan penentusahan ini dan ianya mematuhi panduan pentauliahan  yang sedang berkuatkuasa. </t>
    </r>
  </si>
  <si>
    <t>J. PENGESAHAN PPB / PENGURUS PLK / WAKIL PLK/PB</t>
  </si>
  <si>
    <t xml:space="preserve">Dengan ini saya mengesahkan bahawa Panel telah melaksanakan penilaian dan memaklumkan hasil lawatan di PLK/PB  seperti dinyatakan di atas.  </t>
  </si>
  <si>
    <t>NOTA : 
1. TAHAP 3  ada 6 kredit untuk LI. Kredit Latihan Industri (LI) diberikan secara automatik bagi pelaksaan SLDN. Kalu ikut minimum kedit bergraduat , kredit minimum tahap 3= 30 kredit. Bila tolak LI tinggal 24 kredit. 24 kredit x 40 = 960 jam. Adakah tempoh latihan boleh jadi 960 jam atau perlu buat 30x40= 1200 jam?</t>
  </si>
  <si>
    <t>G.  VERIFIKASI PROGRAM DAN COACH DI SYARIKAT/SYARIKAT LATIHAN DALAMAN (IN-HOUSE)</t>
  </si>
  <si>
    <t>KOD NOSS/ TAHAP</t>
  </si>
  <si>
    <t>KEMUDAHAN PRAKTIKAL</t>
  </si>
  <si>
    <t>MAKLUMAT COACH</t>
  </si>
  <si>
    <t xml:space="preserve">Proses Kerja (JPK/SLDN/PK01)  </t>
  </si>
  <si>
    <t xml:space="preserve">Peralatan Berdasarkan CU/Duti/WA/Task (JPK/SLDN/PS01) </t>
  </si>
  <si>
    <t>Bahan Penilaian Praktikal</t>
  </si>
  <si>
    <t>NOSS Terkini</t>
  </si>
  <si>
    <t>MOU Dengan PB/PLK Lain (Kecuali SI)</t>
  </si>
  <si>
    <t>Nama Coach
No KP
Emel</t>
  </si>
  <si>
    <t>Kursus SLDN</t>
  </si>
  <si>
    <t>Kehadiran Coach</t>
  </si>
  <si>
    <t>Pengalaman
Bekerja Berkaitan Program</t>
  </si>
  <si>
    <t>Lengkap</t>
  </si>
  <si>
    <t>Ada</t>
  </si>
  <si>
    <t>Induksi</t>
  </si>
  <si>
    <t>Hadir</t>
  </si>
  <si>
    <t>&lt; 3 Thn</t>
  </si>
  <si>
    <t>Separa</t>
  </si>
  <si>
    <t>Tiada</t>
  </si>
  <si>
    <t>Coach</t>
  </si>
  <si>
    <t>Tidak</t>
  </si>
  <si>
    <r>
      <rPr>
        <sz val="10"/>
        <color rgb="FF000000"/>
        <rFont val="Calibri"/>
        <family val="2"/>
      </rPr>
      <t>≥</t>
    </r>
    <r>
      <rPr>
        <sz val="10"/>
        <color rgb="FF000000"/>
        <rFont val="Arial"/>
        <family val="2"/>
      </rPr>
      <t xml:space="preserve"> 3 Thn</t>
    </r>
  </si>
  <si>
    <t>PPKSPP</t>
  </si>
  <si>
    <t>THDI</t>
  </si>
  <si>
    <r>
      <rPr>
        <sz val="10"/>
        <color rgb="FF000000"/>
        <rFont val="Calibri"/>
        <family val="2"/>
      </rPr>
      <t>≥</t>
    </r>
    <r>
      <rPr>
        <sz val="10"/>
        <color rgb="FF000000"/>
        <rFont val="Arial"/>
        <family val="2"/>
      </rPr>
      <t xml:space="preserve"> 3 Thn</t>
    </r>
  </si>
  <si>
    <r>
      <rPr>
        <sz val="10"/>
        <color rgb="FF000000"/>
        <rFont val="Calibri"/>
        <family val="2"/>
      </rPr>
      <t>≥</t>
    </r>
    <r>
      <rPr>
        <sz val="10"/>
        <color rgb="FF000000"/>
        <rFont val="Arial"/>
        <family val="2"/>
      </rPr>
      <t xml:space="preserve"> 3 Thn</t>
    </r>
  </si>
  <si>
    <r>
      <rPr>
        <sz val="10"/>
        <color rgb="FF000000"/>
        <rFont val="Calibri"/>
        <family val="2"/>
      </rPr>
      <t>≥</t>
    </r>
    <r>
      <rPr>
        <sz val="10"/>
        <color rgb="FF000000"/>
        <rFont val="Arial"/>
        <family val="2"/>
      </rPr>
      <t xml:space="preserve"> 3 Thn</t>
    </r>
  </si>
  <si>
    <r>
      <rPr>
        <sz val="10"/>
        <color rgb="FF000000"/>
        <rFont val="Calibri"/>
        <family val="2"/>
      </rPr>
      <t>≥</t>
    </r>
    <r>
      <rPr>
        <sz val="10"/>
        <color rgb="FF000000"/>
        <rFont val="Arial"/>
        <family val="2"/>
      </rPr>
      <t xml:space="preserve"> 3 Thn</t>
    </r>
  </si>
  <si>
    <r>
      <rPr>
        <sz val="10"/>
        <color rgb="FF000000"/>
        <rFont val="Calibri"/>
        <family val="2"/>
      </rPr>
      <t>≥</t>
    </r>
    <r>
      <rPr>
        <sz val="10"/>
        <color rgb="FF000000"/>
        <rFont val="Arial"/>
        <family val="2"/>
      </rPr>
      <t xml:space="preserve"> 3 Thn</t>
    </r>
  </si>
  <si>
    <r>
      <rPr>
        <sz val="10"/>
        <color rgb="FF000000"/>
        <rFont val="Calibri"/>
        <family val="2"/>
      </rPr>
      <t>≥</t>
    </r>
    <r>
      <rPr>
        <sz val="10"/>
        <color rgb="FF000000"/>
        <rFont val="Arial"/>
        <family val="2"/>
      </rPr>
      <t xml:space="preserve"> 3 Thn</t>
    </r>
  </si>
  <si>
    <r>
      <rPr>
        <sz val="10"/>
        <color rgb="FF000000"/>
        <rFont val="Calibri"/>
        <family val="2"/>
      </rPr>
      <t>≥</t>
    </r>
    <r>
      <rPr>
        <sz val="10"/>
        <color rgb="FF000000"/>
        <rFont val="Arial"/>
        <family val="2"/>
      </rPr>
      <t xml:space="preserve"> 3 Thn</t>
    </r>
  </si>
  <si>
    <t>H.  VERIFIKASI PERALATAN DI SYARIKAT / SYARIKAT LATIHAN DALAMAN (IN-HOUSE)</t>
  </si>
  <si>
    <t>STATUS</t>
  </si>
  <si>
    <t>BILANGAN</t>
  </si>
  <si>
    <t>Ya / Tidak</t>
  </si>
  <si>
    <t>Pencahayaan dalaman sesuai untuk latihan praktikal</t>
  </si>
  <si>
    <t>I.  VERIFIKASI PERALATAN DI SYARIKAT/AGENSI/PREMIS LUAR (jika berkaitan)</t>
  </si>
  <si>
    <t>PROGRAM</t>
  </si>
  <si>
    <t>MAKLUMAT SYARIKAT/AGENSI LUAR/ PUSAT LATIHAN</t>
  </si>
  <si>
    <t>SYOR PEGAWAI VERIFIKASI</t>
  </si>
  <si>
    <t>SYOR PEG VERIFIKASI</t>
  </si>
  <si>
    <t>Kod NOSS/ Tahap</t>
  </si>
  <si>
    <t>Cu/Duti/ WA/Task Terlibat</t>
  </si>
  <si>
    <t xml:space="preserve">Penilaian Proses Kerja (JPK/SLDN/PK01)  </t>
  </si>
  <si>
    <t xml:space="preserve">Penilaian Peralatan Berdasa-rkan CU/Duti/ WA/Task (JPK/SLDN/PS01) </t>
  </si>
  <si>
    <t>Premis Sesuai Untuk Latihan</t>
  </si>
  <si>
    <t>Nama  Agensi/Premis Luar</t>
  </si>
  <si>
    <t xml:space="preserve"> Alamat Agensi/ Premis Luar</t>
  </si>
  <si>
    <t>Ya</t>
  </si>
  <si>
    <t>Diperaku</t>
  </si>
  <si>
    <t>Tidak Peraku</t>
  </si>
  <si>
    <t>G.  VERIFIKASI PROGRAM DAN COACH DI SYARIKAT/ 
SYARIKAT LATIHAN DALAMAN (IN-HOUSE)</t>
  </si>
  <si>
    <t>Kod NOSS Mengikut Tahap</t>
  </si>
  <si>
    <t>Kemudahan Praktikal</t>
  </si>
  <si>
    <t>Kapasiti Perantis/ Tahap</t>
  </si>
  <si>
    <t>Bilangan Coach Layak Diperaku</t>
  </si>
  <si>
    <t xml:space="preserve"> Lengkap</t>
  </si>
  <si>
    <t>&gt; Separa (70%)</t>
  </si>
  <si>
    <t>Tidak Diperaku</t>
  </si>
  <si>
    <t>Tiada (&lt;70%)</t>
  </si>
  <si>
    <t>n/a</t>
  </si>
  <si>
    <t>Status/Kapasiti</t>
  </si>
  <si>
    <t>Pencahayaan dan pengudaraan dalaman sesuai untuk latihan praktikal (Kemudahan pengudaraan dan pencahayaan yang menepati kehendak UBBL)</t>
  </si>
  <si>
    <t>Sesuai / 
Tidak Sesuai</t>
  </si>
  <si>
    <t>I.  VERIFIKASI PERALATAN DI SYARIKAT / AGENSI / PREMIS LUAR (jika berkaitan)</t>
  </si>
  <si>
    <t>Program</t>
  </si>
  <si>
    <t>Nama  dan alamat Agensi/ Premis Luar</t>
  </si>
  <si>
    <t>Syor Pegawai Verifikasi</t>
  </si>
  <si>
    <t>Cu/Duti/WA/
Task terlibat</t>
  </si>
  <si>
    <t xml:space="preserve">Penilaian Peralatan Berdasarkan CU/Duti/ WA/Task (JPK/SLDN/PS01) </t>
  </si>
  <si>
    <r>
      <t xml:space="preserve">Menilai dan mengesahkan laluan peluang kerjaya dan pengajian yang boleh diterima pelajar.
Contoh bukti yang dilihat seperti:
i.  </t>
    </r>
    <r>
      <rPr>
        <i/>
        <sz val="10"/>
        <color theme="1"/>
        <rFont val="Arial"/>
        <family val="2"/>
      </rPr>
      <t>Website</t>
    </r>
    <r>
      <rPr>
        <sz val="10"/>
        <color theme="1"/>
        <rFont val="Arial"/>
        <family val="2"/>
      </rPr>
      <t>;
ii.  Student’s handbook;
iii.  Poster;
iv.  Brosur; atau
v.  Dokumen lain yang berkaitan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</si>
</sst>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scheme val="minor"/>
    </font>
    <font>
      <sz val="11"/>
      <color theme="1"/>
      <name val="Arial"/>
      <family val="2"/>
    </font>
    <font>
      <b/>
      <sz val="15"/>
      <color theme="1"/>
      <name val="Arial"/>
      <family val="2"/>
    </font>
    <font>
      <sz val="11"/>
      <name val="Calibri"/>
      <family val="2"/>
    </font>
    <font>
      <sz val="11"/>
      <color theme="1"/>
      <name val="Calibri"/>
      <family val="2"/>
    </font>
    <font>
      <b/>
      <sz val="13"/>
      <color theme="1"/>
      <name val="Arial"/>
      <family val="2"/>
    </font>
    <font>
      <b/>
      <sz val="14"/>
      <color theme="1"/>
      <name val="Arial"/>
      <family val="2"/>
    </font>
    <font>
      <b/>
      <sz val="11"/>
      <color theme="1"/>
      <name val="Arial"/>
      <family val="2"/>
    </font>
    <font>
      <sz val="10"/>
      <color theme="1"/>
      <name val="Arial"/>
      <family val="2"/>
    </font>
    <font>
      <sz val="11"/>
      <color theme="1"/>
      <name val="Calibri"/>
      <family val="2"/>
    </font>
    <font>
      <b/>
      <sz val="12"/>
      <color theme="1"/>
      <name val="Arial"/>
      <family val="2"/>
    </font>
    <font>
      <b/>
      <i/>
      <sz val="10"/>
      <color theme="1"/>
      <name val="Arial"/>
      <family val="2"/>
    </font>
    <font>
      <sz val="9"/>
      <color rgb="FF000000"/>
      <name val="Arial"/>
      <family val="2"/>
    </font>
    <font>
      <sz val="7"/>
      <color theme="1"/>
      <name val="Arial"/>
      <family val="2"/>
    </font>
    <font>
      <b/>
      <sz val="10"/>
      <color theme="1"/>
      <name val="Arial"/>
      <family val="2"/>
    </font>
    <font>
      <sz val="11"/>
      <color rgb="FFFF0000"/>
      <name val="Arial"/>
      <family val="2"/>
    </font>
    <font>
      <b/>
      <sz val="11"/>
      <color rgb="FF666666"/>
      <name val="Arial"/>
      <family val="2"/>
    </font>
    <font>
      <sz val="11"/>
      <color rgb="FF000000"/>
      <name val="Arial"/>
      <family val="2"/>
    </font>
    <font>
      <b/>
      <sz val="11"/>
      <color rgb="FF000000"/>
      <name val="Arial"/>
      <family val="2"/>
    </font>
    <font>
      <sz val="11"/>
      <color rgb="FF0D0D0D"/>
      <name val="Arial"/>
      <family val="2"/>
    </font>
    <font>
      <b/>
      <sz val="11"/>
      <color theme="1"/>
      <name val="Calibri"/>
      <family val="2"/>
    </font>
    <font>
      <b/>
      <sz val="12"/>
      <color rgb="FF000000"/>
      <name val="Arial"/>
      <family val="2"/>
    </font>
    <font>
      <sz val="12"/>
      <color rgb="FF000000"/>
      <name val="Arial"/>
      <family val="2"/>
    </font>
    <font>
      <b/>
      <sz val="9"/>
      <color theme="1"/>
      <name val="Arial"/>
      <family val="2"/>
    </font>
    <font>
      <b/>
      <sz val="9"/>
      <color rgb="FF000000"/>
      <name val="Arial"/>
      <family val="2"/>
    </font>
    <font>
      <b/>
      <sz val="10"/>
      <color rgb="FF000000"/>
      <name val="Arial"/>
      <family val="2"/>
    </font>
    <font>
      <sz val="10"/>
      <color rgb="FF000000"/>
      <name val="Arial"/>
      <family val="2"/>
    </font>
    <font>
      <sz val="10"/>
      <color rgb="FFD8D8D8"/>
      <name val="Arial"/>
      <family val="2"/>
    </font>
    <font>
      <sz val="11"/>
      <color theme="1"/>
      <name val="Arial"/>
      <family val="2"/>
    </font>
    <font>
      <b/>
      <sz val="11"/>
      <color theme="1"/>
      <name val="Arial"/>
      <family val="2"/>
    </font>
    <font>
      <b/>
      <sz val="13"/>
      <color rgb="FF000000"/>
      <name val="Arial"/>
      <family val="2"/>
    </font>
    <font>
      <sz val="12"/>
      <color theme="1"/>
      <name val="Calibri"/>
      <family val="2"/>
    </font>
    <font>
      <sz val="8"/>
      <color theme="1"/>
      <name val="Arial"/>
      <family val="2"/>
    </font>
    <font>
      <i/>
      <sz val="10"/>
      <color theme="1"/>
      <name val="Arial"/>
      <family val="2"/>
    </font>
    <font>
      <sz val="10"/>
      <color theme="1"/>
      <name val="Calibri"/>
      <family val="2"/>
    </font>
    <font>
      <b/>
      <i/>
      <sz val="12"/>
      <color rgb="FF000000"/>
      <name val="Arial Bold Italic"/>
    </font>
    <font>
      <b/>
      <i/>
      <sz val="11"/>
      <color theme="1"/>
      <name val="Arial"/>
      <family val="2"/>
    </font>
    <font>
      <i/>
      <sz val="10"/>
      <color rgb="FF000000"/>
      <name val="Arial"/>
      <family val="2"/>
    </font>
    <font>
      <strike/>
      <sz val="10"/>
      <color rgb="FF000000"/>
      <name val="Arial"/>
      <family val="2"/>
    </font>
    <font>
      <strike/>
      <sz val="10"/>
      <color theme="1"/>
      <name val="Arial"/>
      <family val="2"/>
    </font>
    <font>
      <sz val="10"/>
      <color rgb="FF000000"/>
      <name val="Calibri"/>
      <family val="2"/>
    </font>
  </fonts>
  <fills count="12">
    <fill>
      <patternFill patternType="none"/>
    </fill>
    <fill>
      <patternFill patternType="gray125"/>
    </fill>
    <fill>
      <patternFill patternType="solid">
        <fgColor rgb="FFB6DDE8"/>
        <bgColor rgb="FFB6DDE8"/>
      </patternFill>
    </fill>
    <fill>
      <patternFill patternType="solid">
        <fgColor rgb="FFFABF8F"/>
        <bgColor rgb="FFFABF8F"/>
      </patternFill>
    </fill>
    <fill>
      <patternFill patternType="solid">
        <fgColor rgb="FFFBD4B4"/>
        <bgColor rgb="FFFBD4B4"/>
      </patternFill>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DE9D9"/>
        <bgColor rgb="FFFDE9D9"/>
      </patternFill>
    </fill>
    <fill>
      <patternFill patternType="solid">
        <fgColor rgb="FFD3DCE2"/>
        <bgColor rgb="FFD3DCE2"/>
      </patternFill>
    </fill>
    <fill>
      <patternFill patternType="solid">
        <fgColor rgb="FF00B050"/>
        <bgColor rgb="FF00B050"/>
      </patternFill>
    </fill>
    <fill>
      <patternFill patternType="solid">
        <fgColor rgb="FF0C0C0C"/>
        <bgColor rgb="FF0C0C0C"/>
      </patternFill>
    </fill>
  </fills>
  <borders count="10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bottom style="medium">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style="thin">
        <color rgb="FF000000"/>
      </top>
      <bottom/>
      <diagonal/>
    </border>
    <border>
      <left/>
      <right style="thin">
        <color rgb="FF000000"/>
      </right>
      <top/>
      <bottom/>
      <diagonal/>
    </border>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432">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5" fillId="0" borderId="0" xfId="0" applyFont="1" applyAlignment="1">
      <alignment vertical="center"/>
    </xf>
    <xf numFmtId="0" fontId="5" fillId="0" borderId="6" xfId="0" applyFont="1" applyBorder="1" applyAlignment="1">
      <alignment horizontal="center" vertical="center" wrapText="1"/>
    </xf>
    <xf numFmtId="0" fontId="5" fillId="0" borderId="7" xfId="0" applyFont="1" applyBorder="1" applyAlignment="1">
      <alignment horizontal="center" vertical="center"/>
    </xf>
    <xf numFmtId="0" fontId="4" fillId="0" borderId="7" xfId="0" applyFont="1" applyBorder="1"/>
    <xf numFmtId="0" fontId="4" fillId="0" borderId="8" xfId="0" applyFont="1" applyBorder="1"/>
    <xf numFmtId="0" fontId="1" fillId="0" borderId="11" xfId="0" applyFont="1" applyBorder="1" applyAlignment="1">
      <alignment horizontal="center" vertical="center"/>
    </xf>
    <xf numFmtId="0" fontId="1" fillId="0" borderId="7" xfId="0" applyFont="1" applyBorder="1" applyAlignment="1">
      <alignment vertical="center"/>
    </xf>
    <xf numFmtId="0" fontId="7" fillId="0" borderId="7" xfId="0" applyFont="1" applyBorder="1" applyAlignment="1">
      <alignment vertical="center"/>
    </xf>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left" vertical="center" wrapText="1"/>
    </xf>
    <xf numFmtId="0" fontId="1" fillId="0" borderId="7" xfId="0" applyFont="1" applyBorder="1" applyAlignment="1">
      <alignment vertical="center" wrapText="1"/>
    </xf>
    <xf numFmtId="0" fontId="1" fillId="0" borderId="0" xfId="0" applyFont="1" applyAlignment="1">
      <alignment horizontal="left" vertical="center" wrapText="1"/>
    </xf>
    <xf numFmtId="0" fontId="1" fillId="0" borderId="12" xfId="0" applyFont="1" applyBorder="1" applyAlignment="1">
      <alignment vertical="center"/>
    </xf>
    <xf numFmtId="0" fontId="1" fillId="0" borderId="0" xfId="0" applyFont="1" applyAlignment="1">
      <alignment vertical="center" wrapText="1"/>
    </xf>
    <xf numFmtId="0" fontId="1" fillId="0" borderId="10" xfId="0" applyFont="1" applyBorder="1" applyAlignment="1">
      <alignment vertical="center" wrapText="1"/>
    </xf>
    <xf numFmtId="0" fontId="1" fillId="0" borderId="0" xfId="0" applyFont="1" applyAlignment="1">
      <alignment horizontal="left" vertical="center"/>
    </xf>
    <xf numFmtId="0" fontId="1" fillId="0" borderId="0" xfId="0" applyFont="1" applyAlignment="1">
      <alignment vertical="center"/>
    </xf>
    <xf numFmtId="0" fontId="1" fillId="0" borderId="13" xfId="0" applyFont="1" applyBorder="1" applyAlignment="1">
      <alignment horizontal="center" vertical="center" wrapText="1"/>
    </xf>
    <xf numFmtId="0" fontId="8"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horizontal="center" vertical="center" wrapText="1"/>
    </xf>
    <xf numFmtId="0" fontId="1" fillId="0" borderId="12" xfId="0" applyFont="1" applyBorder="1" applyAlignment="1">
      <alignment horizontal="left" vertical="center"/>
    </xf>
    <xf numFmtId="0" fontId="9" fillId="0" borderId="12" xfId="0" applyFont="1" applyBorder="1"/>
    <xf numFmtId="0" fontId="1" fillId="0" borderId="13" xfId="0" applyFont="1" applyBorder="1" applyAlignment="1">
      <alignment horizontal="left" vertical="center" wrapText="1"/>
    </xf>
    <xf numFmtId="0" fontId="1" fillId="0" borderId="12" xfId="0" applyFont="1" applyBorder="1" applyAlignment="1">
      <alignment horizontal="left" vertical="center" wrapText="1"/>
    </xf>
    <xf numFmtId="0" fontId="1" fillId="0" borderId="11" xfId="0" applyFont="1" applyBorder="1" applyAlignment="1">
      <alignment vertical="center" wrapText="1"/>
    </xf>
    <xf numFmtId="0" fontId="10" fillId="4" borderId="18" xfId="0" applyFont="1" applyFill="1" applyBorder="1" applyAlignment="1">
      <alignment vertical="center"/>
    </xf>
    <xf numFmtId="0" fontId="10" fillId="4" borderId="19" xfId="0" applyFont="1" applyFill="1" applyBorder="1" applyAlignment="1">
      <alignment vertical="center"/>
    </xf>
    <xf numFmtId="0" fontId="1" fillId="4" borderId="19" xfId="0" applyFont="1" applyFill="1" applyBorder="1" applyAlignment="1">
      <alignment horizontal="left" vertical="center" wrapText="1"/>
    </xf>
    <xf numFmtId="0" fontId="1" fillId="4" borderId="13" xfId="0" applyFont="1" applyFill="1" applyBorder="1" applyAlignment="1">
      <alignment horizontal="left" vertical="center" wrapText="1"/>
    </xf>
    <xf numFmtId="0" fontId="10" fillId="4" borderId="13" xfId="0" applyFont="1" applyFill="1" applyBorder="1" applyAlignment="1">
      <alignment vertical="center"/>
    </xf>
    <xf numFmtId="0" fontId="10" fillId="4" borderId="20" xfId="0" applyFont="1" applyFill="1" applyBorder="1" applyAlignment="1">
      <alignment vertical="center"/>
    </xf>
    <xf numFmtId="0" fontId="10" fillId="4" borderId="21" xfId="0" applyFont="1" applyFill="1" applyBorder="1" applyAlignment="1">
      <alignment vertical="center"/>
    </xf>
    <xf numFmtId="0" fontId="10" fillId="4" borderId="22" xfId="0" applyFont="1" applyFill="1" applyBorder="1" applyAlignment="1">
      <alignment vertical="center"/>
    </xf>
    <xf numFmtId="0" fontId="1" fillId="4" borderId="22" xfId="0" applyFont="1" applyFill="1" applyBorder="1" applyAlignment="1">
      <alignment horizontal="left" vertical="center" wrapText="1"/>
    </xf>
    <xf numFmtId="0" fontId="10" fillId="4" borderId="23" xfId="0" applyFont="1" applyFill="1" applyBorder="1" applyAlignment="1">
      <alignment vertical="center"/>
    </xf>
    <xf numFmtId="0" fontId="10" fillId="0" borderId="11" xfId="0" applyFont="1" applyBorder="1" applyAlignment="1">
      <alignment vertical="center"/>
    </xf>
    <xf numFmtId="0" fontId="10" fillId="0" borderId="0" xfId="0" applyFont="1" applyAlignment="1">
      <alignment vertical="center"/>
    </xf>
    <xf numFmtId="0" fontId="10" fillId="0" borderId="12" xfId="0" applyFont="1" applyBorder="1" applyAlignment="1">
      <alignment vertical="center"/>
    </xf>
    <xf numFmtId="0" fontId="1" fillId="0" borderId="4" xfId="0" applyFont="1" applyBorder="1" applyAlignment="1">
      <alignment horizontal="center" vertical="center" wrapText="1"/>
    </xf>
    <xf numFmtId="0" fontId="8" fillId="0" borderId="13" xfId="0" applyFont="1" applyBorder="1" applyAlignment="1">
      <alignment vertical="center" wrapText="1"/>
    </xf>
    <xf numFmtId="0" fontId="8" fillId="0" borderId="13" xfId="0" applyFont="1" applyBorder="1" applyAlignment="1">
      <alignment horizontal="left" vertical="center" wrapText="1"/>
    </xf>
    <xf numFmtId="0" fontId="8" fillId="0" borderId="0" xfId="0" applyFont="1" applyAlignment="1">
      <alignment horizontal="center" vertical="center" wrapText="1"/>
    </xf>
    <xf numFmtId="0" fontId="8" fillId="0" borderId="13" xfId="0" applyFont="1" applyBorder="1" applyAlignment="1">
      <alignment horizontal="center" vertical="center" wrapText="1"/>
    </xf>
    <xf numFmtId="0" fontId="8" fillId="0" borderId="2" xfId="0" applyFont="1" applyBorder="1" applyAlignment="1">
      <alignment vertical="center" wrapText="1"/>
    </xf>
    <xf numFmtId="0" fontId="8" fillId="0" borderId="12" xfId="0" applyFont="1" applyBorder="1" applyAlignment="1">
      <alignment horizontal="left" vertical="center" wrapText="1"/>
    </xf>
    <xf numFmtId="0" fontId="8" fillId="0" borderId="0" xfId="0" applyFont="1" applyAlignment="1">
      <alignment vertical="center" wrapText="1"/>
    </xf>
    <xf numFmtId="0" fontId="7" fillId="5" borderId="24" xfId="0" applyFont="1" applyFill="1" applyBorder="1" applyAlignment="1">
      <alignment horizontal="center" vertical="center" wrapText="1"/>
    </xf>
    <xf numFmtId="0" fontId="7" fillId="5" borderId="13" xfId="0" applyFont="1" applyFill="1" applyBorder="1" applyAlignment="1">
      <alignment horizontal="center" vertical="center" wrapText="1"/>
    </xf>
    <xf numFmtId="2" fontId="8" fillId="0" borderId="25" xfId="0" applyNumberFormat="1" applyFont="1" applyBorder="1" applyAlignment="1">
      <alignment horizontal="center" vertical="center" wrapText="1"/>
    </xf>
    <xf numFmtId="2" fontId="8" fillId="0" borderId="26" xfId="0" applyNumberFormat="1" applyFont="1" applyBorder="1" applyAlignment="1">
      <alignment vertical="center" wrapText="1"/>
    </xf>
    <xf numFmtId="0" fontId="8" fillId="0" borderId="25" xfId="0" applyFont="1" applyBorder="1" applyAlignment="1">
      <alignment horizontal="center" vertical="center" wrapText="1"/>
    </xf>
    <xf numFmtId="2" fontId="8" fillId="0" borderId="10" xfId="0" applyNumberFormat="1" applyFont="1" applyBorder="1" applyAlignment="1">
      <alignment vertical="center" wrapText="1"/>
    </xf>
    <xf numFmtId="0" fontId="8" fillId="0" borderId="24" xfId="0" applyFont="1" applyBorder="1" applyAlignment="1">
      <alignment horizontal="center" vertical="center" wrapText="1"/>
    </xf>
    <xf numFmtId="2" fontId="8" fillId="0" borderId="13" xfId="0" applyNumberFormat="1" applyFont="1" applyBorder="1" applyAlignment="1">
      <alignment horizontal="left" vertical="center" wrapText="1"/>
    </xf>
    <xf numFmtId="0" fontId="8" fillId="5" borderId="30"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8" fillId="0" borderId="13" xfId="0" applyFont="1" applyBorder="1" applyAlignment="1">
      <alignment horizontal="center" vertical="center"/>
    </xf>
    <xf numFmtId="0" fontId="8" fillId="0" borderId="33" xfId="0" applyFont="1" applyBorder="1" applyAlignment="1">
      <alignment horizontal="center" vertical="center"/>
    </xf>
    <xf numFmtId="0" fontId="10" fillId="0" borderId="0" xfId="0" applyFont="1" applyAlignment="1">
      <alignment wrapText="1"/>
    </xf>
    <xf numFmtId="0" fontId="1" fillId="0" borderId="0" xfId="0" applyFont="1"/>
    <xf numFmtId="0" fontId="10" fillId="0" borderId="25" xfId="0" applyFont="1" applyBorder="1" applyAlignment="1">
      <alignment horizontal="left" vertical="center" wrapText="1"/>
    </xf>
    <xf numFmtId="0" fontId="10" fillId="0" borderId="0" xfId="0" applyFont="1" applyAlignment="1">
      <alignment vertical="center" wrapText="1"/>
    </xf>
    <xf numFmtId="0" fontId="7" fillId="4" borderId="40" xfId="0" applyFont="1" applyFill="1" applyBorder="1" applyAlignment="1">
      <alignment horizontal="center" vertical="center"/>
    </xf>
    <xf numFmtId="0" fontId="8" fillId="5" borderId="13" xfId="0" applyFont="1" applyFill="1" applyBorder="1" applyAlignment="1">
      <alignment horizontal="center" vertical="center" wrapText="1"/>
    </xf>
    <xf numFmtId="0" fontId="1" fillId="5" borderId="30" xfId="0" applyFont="1" applyFill="1" applyBorder="1" applyAlignment="1">
      <alignment vertical="center" wrapText="1"/>
    </xf>
    <xf numFmtId="0" fontId="7" fillId="0" borderId="13" xfId="0" applyFont="1" applyBorder="1" applyAlignment="1">
      <alignment horizontal="center" vertical="center" wrapText="1"/>
    </xf>
    <xf numFmtId="0" fontId="1" fillId="0" borderId="13" xfId="0" applyFont="1" applyBorder="1" applyAlignment="1">
      <alignment horizontal="center" vertical="center"/>
    </xf>
    <xf numFmtId="0" fontId="1" fillId="0" borderId="25" xfId="0" applyFont="1" applyBorder="1" applyAlignment="1">
      <alignment horizontal="left" vertical="center"/>
    </xf>
    <xf numFmtId="0" fontId="1" fillId="0" borderId="1" xfId="0" applyFont="1" applyBorder="1" applyAlignment="1">
      <alignment horizontal="left" vertical="center" wrapText="1"/>
    </xf>
    <xf numFmtId="0" fontId="15" fillId="0" borderId="0" xfId="0" applyFont="1" applyAlignment="1">
      <alignment vertical="center" wrapText="1"/>
    </xf>
    <xf numFmtId="0" fontId="7" fillId="4" borderId="46" xfId="0" applyFont="1" applyFill="1" applyBorder="1" applyAlignment="1">
      <alignment horizontal="center" vertical="center"/>
    </xf>
    <xf numFmtId="0" fontId="8" fillId="5" borderId="46" xfId="0" applyFont="1" applyFill="1" applyBorder="1" applyAlignment="1">
      <alignment horizontal="center" vertical="center" wrapText="1"/>
    </xf>
    <xf numFmtId="0" fontId="1" fillId="5" borderId="47" xfId="0" applyFont="1" applyFill="1" applyBorder="1" applyAlignment="1">
      <alignment vertical="center" wrapText="1"/>
    </xf>
    <xf numFmtId="0" fontId="16" fillId="0" borderId="13" xfId="0" applyFont="1" applyBorder="1" applyAlignment="1">
      <alignment horizontal="center" vertical="center" wrapText="1"/>
    </xf>
    <xf numFmtId="0" fontId="7" fillId="3" borderId="40" xfId="0" applyFont="1" applyFill="1" applyBorder="1" applyAlignment="1">
      <alignment horizontal="center" vertical="center"/>
    </xf>
    <xf numFmtId="0" fontId="1" fillId="5" borderId="13" xfId="0" applyFont="1" applyFill="1" applyBorder="1" applyAlignment="1">
      <alignment horizontal="center" vertical="center" wrapText="1"/>
    </xf>
    <xf numFmtId="0" fontId="1" fillId="5" borderId="40" xfId="0" applyFont="1" applyFill="1" applyBorder="1" applyAlignment="1">
      <alignment vertical="center" wrapText="1"/>
    </xf>
    <xf numFmtId="0" fontId="1" fillId="5" borderId="19" xfId="0" applyFont="1" applyFill="1" applyBorder="1" applyAlignment="1">
      <alignment horizontal="left" vertical="center" wrapText="1"/>
    </xf>
    <xf numFmtId="0" fontId="1" fillId="5" borderId="40"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9" fillId="0" borderId="0" xfId="0" applyFont="1"/>
    <xf numFmtId="0" fontId="7" fillId="0" borderId="0" xfId="0" applyFont="1" applyAlignment="1">
      <alignment vertical="center" wrapText="1"/>
    </xf>
    <xf numFmtId="0" fontId="1" fillId="5" borderId="30" xfId="0" applyFont="1" applyFill="1" applyBorder="1" applyAlignment="1">
      <alignment horizontal="center" vertical="center" wrapText="1"/>
    </xf>
    <xf numFmtId="0" fontId="17" fillId="7" borderId="30" xfId="0" applyFont="1" applyFill="1" applyBorder="1" applyAlignment="1">
      <alignment horizontal="left" vertical="center" wrapText="1"/>
    </xf>
    <xf numFmtId="0" fontId="17" fillId="7" borderId="13" xfId="0" applyFont="1" applyFill="1" applyBorder="1" applyAlignment="1">
      <alignment horizontal="center" vertical="center" wrapText="1"/>
    </xf>
    <xf numFmtId="0" fontId="17" fillId="7" borderId="31" xfId="0" applyFont="1" applyFill="1" applyBorder="1" applyAlignment="1">
      <alignment horizontal="center" vertical="center" wrapText="1"/>
    </xf>
    <xf numFmtId="0" fontId="17" fillId="0" borderId="26" xfId="0" applyFont="1" applyBorder="1" applyAlignment="1">
      <alignment horizontal="center" vertical="center" wrapText="1"/>
    </xf>
    <xf numFmtId="0" fontId="18" fillId="0" borderId="26" xfId="0" applyFont="1" applyBorder="1" applyAlignment="1">
      <alignment horizontal="center" vertical="center" wrapText="1"/>
    </xf>
    <xf numFmtId="0" fontId="18" fillId="0" borderId="8" xfId="0" applyFont="1" applyBorder="1" applyAlignment="1">
      <alignment horizontal="center" vertical="center" wrapText="1"/>
    </xf>
    <xf numFmtId="0" fontId="17" fillId="7" borderId="53" xfId="0" applyFont="1" applyFill="1" applyBorder="1" applyAlignment="1">
      <alignment horizontal="left" vertical="center" wrapText="1"/>
    </xf>
    <xf numFmtId="0" fontId="17" fillId="7" borderId="40" xfId="0" applyFont="1" applyFill="1" applyBorder="1" applyAlignment="1">
      <alignment horizontal="center" vertical="center" wrapText="1"/>
    </xf>
    <xf numFmtId="0" fontId="17" fillId="7" borderId="54" xfId="0" applyFont="1" applyFill="1" applyBorder="1" applyAlignment="1">
      <alignment horizontal="center" vertical="center" wrapText="1"/>
    </xf>
    <xf numFmtId="0" fontId="17" fillId="0" borderId="8" xfId="0" applyFont="1" applyBorder="1" applyAlignment="1">
      <alignment horizontal="center" vertical="center" wrapText="1"/>
    </xf>
    <xf numFmtId="0" fontId="1" fillId="5" borderId="25" xfId="0" applyFont="1" applyFill="1" applyBorder="1" applyAlignment="1">
      <alignment horizontal="center" vertical="center" wrapText="1"/>
    </xf>
    <xf numFmtId="0" fontId="17" fillId="7" borderId="6" xfId="0" applyFont="1" applyFill="1" applyBorder="1" applyAlignment="1">
      <alignment horizontal="left" vertical="center" wrapText="1"/>
    </xf>
    <xf numFmtId="0" fontId="17" fillId="7" borderId="52" xfId="0" applyFont="1" applyFill="1" applyBorder="1" applyAlignment="1">
      <alignment horizontal="center" vertical="center" wrapText="1"/>
    </xf>
    <xf numFmtId="0" fontId="17" fillId="7" borderId="8" xfId="0" applyFont="1" applyFill="1" applyBorder="1" applyAlignment="1">
      <alignment horizontal="center" vertical="center" wrapText="1"/>
    </xf>
    <xf numFmtId="0" fontId="7" fillId="5" borderId="40" xfId="0" applyFont="1" applyFill="1" applyBorder="1" applyAlignment="1">
      <alignment vertical="center" wrapText="1"/>
    </xf>
    <xf numFmtId="0" fontId="20" fillId="0" borderId="12" xfId="0" applyFont="1" applyBorder="1" applyAlignment="1">
      <alignment horizontal="center" vertical="center"/>
    </xf>
    <xf numFmtId="0" fontId="4" fillId="0" borderId="13" xfId="0" applyFont="1" applyBorder="1" applyAlignment="1">
      <alignment horizontal="center" vertical="center"/>
    </xf>
    <xf numFmtId="0" fontId="4" fillId="0" borderId="51" xfId="0" applyFont="1" applyBorder="1" applyAlignment="1">
      <alignment horizontal="center" vertical="center"/>
    </xf>
    <xf numFmtId="0" fontId="17" fillId="0" borderId="13" xfId="0" applyFont="1" applyBorder="1" applyAlignment="1">
      <alignment horizontal="center" vertical="center"/>
    </xf>
    <xf numFmtId="0" fontId="17" fillId="0" borderId="52" xfId="0" applyFont="1" applyBorder="1" applyAlignment="1">
      <alignment horizontal="center" vertical="center"/>
    </xf>
    <xf numFmtId="0" fontId="17" fillId="7" borderId="40" xfId="0" applyFont="1" applyFill="1" applyBorder="1" applyAlignment="1">
      <alignment horizontal="center" vertical="center"/>
    </xf>
    <xf numFmtId="0" fontId="1" fillId="6" borderId="40" xfId="0" applyFont="1" applyFill="1" applyBorder="1" applyAlignment="1">
      <alignment vertical="center" wrapText="1"/>
    </xf>
    <xf numFmtId="0" fontId="7" fillId="0" borderId="52" xfId="0" applyFont="1" applyBorder="1" applyAlignment="1">
      <alignment vertical="center" wrapText="1"/>
    </xf>
    <xf numFmtId="0" fontId="20" fillId="0" borderId="13" xfId="0" applyFont="1" applyBorder="1" applyAlignment="1">
      <alignment horizontal="center" vertical="center"/>
    </xf>
    <xf numFmtId="0" fontId="4" fillId="0" borderId="13" xfId="0" applyFont="1" applyBorder="1" applyAlignment="1">
      <alignment vertical="center"/>
    </xf>
    <xf numFmtId="0" fontId="1" fillId="0" borderId="25" xfId="0" applyFont="1" applyBorder="1" applyAlignment="1">
      <alignment vertical="center" wrapText="1"/>
    </xf>
    <xf numFmtId="0" fontId="1" fillId="0" borderId="13" xfId="0" applyFont="1" applyBorder="1" applyAlignment="1">
      <alignment vertical="center" wrapText="1"/>
    </xf>
    <xf numFmtId="0" fontId="7" fillId="0" borderId="13" xfId="0" applyFont="1" applyBorder="1" applyAlignment="1">
      <alignment vertical="center" wrapText="1"/>
    </xf>
    <xf numFmtId="0" fontId="21" fillId="0" borderId="25" xfId="0" applyFont="1" applyBorder="1" applyAlignment="1">
      <alignment horizontal="left" vertical="center" wrapText="1"/>
    </xf>
    <xf numFmtId="0" fontId="23" fillId="0" borderId="51" xfId="0" applyFont="1" applyBorder="1" applyAlignment="1">
      <alignment horizontal="left" vertical="center" wrapText="1"/>
    </xf>
    <xf numFmtId="0" fontId="23" fillId="0" borderId="51" xfId="0" applyFont="1" applyBorder="1" applyAlignment="1">
      <alignment horizontal="center" vertical="center" textRotation="90" wrapText="1"/>
    </xf>
    <xf numFmtId="0" fontId="23" fillId="0" borderId="51" xfId="0" applyFont="1" applyBorder="1" applyAlignment="1">
      <alignment horizontal="left" vertical="center" textRotation="90" wrapText="1"/>
    </xf>
    <xf numFmtId="0" fontId="23" fillId="0" borderId="1" xfId="0" applyFont="1" applyBorder="1" applyAlignment="1">
      <alignment horizontal="center" vertical="center" textRotation="90" wrapText="1"/>
    </xf>
    <xf numFmtId="0" fontId="23" fillId="0" borderId="13" xfId="0" applyFont="1" applyBorder="1" applyAlignment="1">
      <alignment horizontal="center" vertical="center" wrapText="1"/>
    </xf>
    <xf numFmtId="49" fontId="25" fillId="9" borderId="13" xfId="0" applyNumberFormat="1" applyFont="1" applyFill="1" applyBorder="1" applyAlignment="1">
      <alignment horizontal="left" vertical="top" shrinkToFit="1"/>
    </xf>
    <xf numFmtId="0" fontId="14" fillId="9" borderId="13" xfId="0" applyFont="1" applyFill="1" applyBorder="1" applyAlignment="1">
      <alignment horizontal="left" vertical="top" wrapText="1"/>
    </xf>
    <xf numFmtId="0" fontId="14" fillId="9" borderId="13" xfId="0" applyFont="1" applyFill="1" applyBorder="1" applyAlignment="1">
      <alignment horizontal="center" vertical="top" wrapText="1"/>
    </xf>
    <xf numFmtId="0" fontId="14" fillId="9" borderId="30" xfId="0" applyFont="1" applyFill="1" applyBorder="1" applyAlignment="1">
      <alignment horizontal="center" vertical="top" wrapText="1"/>
    </xf>
    <xf numFmtId="0" fontId="26" fillId="9" borderId="30" xfId="0" applyFont="1" applyFill="1" applyBorder="1" applyAlignment="1">
      <alignment horizontal="left" vertical="center" wrapText="1"/>
    </xf>
    <xf numFmtId="0" fontId="26" fillId="9" borderId="57" xfId="0" applyFont="1" applyFill="1" applyBorder="1" applyAlignment="1">
      <alignment horizontal="left" vertical="center" wrapText="1"/>
    </xf>
    <xf numFmtId="0" fontId="27" fillId="9" borderId="58" xfId="0" applyFont="1" applyFill="1" applyBorder="1" applyAlignment="1">
      <alignment horizontal="center" vertical="center" wrapText="1"/>
    </xf>
    <xf numFmtId="0" fontId="26" fillId="9" borderId="58" xfId="0" applyFont="1" applyFill="1" applyBorder="1" applyAlignment="1">
      <alignment horizontal="center" vertical="center" wrapText="1"/>
    </xf>
    <xf numFmtId="0" fontId="26" fillId="9" borderId="58" xfId="0" applyFont="1" applyFill="1" applyBorder="1" applyAlignment="1">
      <alignment horizontal="left" vertical="center" wrapText="1"/>
    </xf>
    <xf numFmtId="0" fontId="26" fillId="9" borderId="54" xfId="0" applyFont="1" applyFill="1" applyBorder="1" applyAlignment="1">
      <alignment horizontal="left" vertical="center" wrapText="1"/>
    </xf>
    <xf numFmtId="49" fontId="8" fillId="0" borderId="13" xfId="0" applyNumberFormat="1" applyFont="1" applyBorder="1" applyAlignment="1">
      <alignment horizontal="left" vertical="top" wrapText="1"/>
    </xf>
    <xf numFmtId="0" fontId="8" fillId="0" borderId="13" xfId="0" applyFont="1" applyBorder="1" applyAlignment="1">
      <alignment horizontal="left" vertical="top" wrapText="1"/>
    </xf>
    <xf numFmtId="0" fontId="26" fillId="0" borderId="13" xfId="0" applyFont="1" applyBorder="1" applyAlignment="1">
      <alignment horizontal="center" vertical="top" wrapText="1"/>
    </xf>
    <xf numFmtId="0" fontId="8" fillId="0" borderId="13" xfId="0" applyFont="1" applyBorder="1" applyAlignment="1">
      <alignment horizontal="center" vertical="top" wrapText="1"/>
    </xf>
    <xf numFmtId="0" fontId="8" fillId="0" borderId="52" xfId="0" applyFont="1" applyBorder="1" applyAlignment="1">
      <alignment horizontal="left" vertical="top" wrapText="1"/>
    </xf>
    <xf numFmtId="0" fontId="14" fillId="0" borderId="52" xfId="0" applyFont="1" applyBorder="1" applyAlignment="1">
      <alignment horizontal="center" vertical="top" wrapText="1"/>
    </xf>
    <xf numFmtId="1" fontId="25" fillId="0" borderId="52" xfId="0" applyNumberFormat="1" applyFont="1" applyBorder="1" applyAlignment="1">
      <alignment horizontal="center" vertical="top" shrinkToFit="1"/>
    </xf>
    <xf numFmtId="0" fontId="26" fillId="0" borderId="52" xfId="0" applyFont="1" applyBorder="1" applyAlignment="1">
      <alignment horizontal="left" vertical="top" wrapText="1"/>
    </xf>
    <xf numFmtId="0" fontId="26" fillId="9" borderId="31" xfId="0" applyFont="1" applyFill="1" applyBorder="1" applyAlignment="1">
      <alignment horizontal="left" vertical="center" wrapText="1"/>
    </xf>
    <xf numFmtId="0" fontId="26" fillId="0" borderId="13" xfId="0" applyFont="1" applyBorder="1" applyAlignment="1">
      <alignment horizontal="left" vertical="top" wrapText="1"/>
    </xf>
    <xf numFmtId="0" fontId="14" fillId="0" borderId="13" xfId="0" applyFont="1" applyBorder="1" applyAlignment="1">
      <alignment horizontal="center" vertical="top" wrapText="1"/>
    </xf>
    <xf numFmtId="1" fontId="26" fillId="0" borderId="13" xfId="0" applyNumberFormat="1" applyFont="1" applyBorder="1" applyAlignment="1">
      <alignment horizontal="center" vertical="top" shrinkToFit="1"/>
    </xf>
    <xf numFmtId="0" fontId="28" fillId="0" borderId="13" xfId="0" applyFont="1" applyBorder="1" applyAlignment="1">
      <alignment horizontal="center" vertical="top" wrapText="1"/>
    </xf>
    <xf numFmtId="0" fontId="25" fillId="9" borderId="30" xfId="0" applyFont="1" applyFill="1" applyBorder="1" applyAlignment="1">
      <alignment horizontal="left" vertical="center" wrapText="1"/>
    </xf>
    <xf numFmtId="0" fontId="8" fillId="0" borderId="13" xfId="0" applyFont="1" applyBorder="1" applyAlignment="1">
      <alignment vertical="top" wrapText="1"/>
    </xf>
    <xf numFmtId="0" fontId="23" fillId="0" borderId="13" xfId="0" applyFont="1" applyBorder="1" applyAlignment="1">
      <alignment horizontal="center" vertical="center" textRotation="90" wrapText="1"/>
    </xf>
    <xf numFmtId="0" fontId="26" fillId="9" borderId="13" xfId="0" applyFont="1" applyFill="1" applyBorder="1" applyAlignment="1">
      <alignment horizontal="left" vertical="top" wrapText="1"/>
    </xf>
    <xf numFmtId="0" fontId="26" fillId="9" borderId="13" xfId="0" applyFont="1" applyFill="1" applyBorder="1" applyAlignment="1">
      <alignment horizontal="left" vertical="center" wrapText="1"/>
    </xf>
    <xf numFmtId="0" fontId="26" fillId="9" borderId="13" xfId="0" applyFont="1" applyFill="1" applyBorder="1" applyAlignment="1">
      <alignment horizontal="center" vertical="center" wrapText="1"/>
    </xf>
    <xf numFmtId="1" fontId="29" fillId="0" borderId="13" xfId="0" applyNumberFormat="1" applyFont="1" applyBorder="1" applyAlignment="1">
      <alignment horizontal="center" vertical="top"/>
    </xf>
    <xf numFmtId="0" fontId="14" fillId="0" borderId="13" xfId="0" applyFont="1" applyBorder="1" applyAlignment="1">
      <alignment vertical="top" wrapText="1"/>
    </xf>
    <xf numFmtId="0" fontId="14" fillId="0" borderId="13" xfId="0" applyFont="1" applyBorder="1" applyAlignment="1">
      <alignment horizontal="left" vertical="top" wrapText="1"/>
    </xf>
    <xf numFmtId="1" fontId="4" fillId="0" borderId="13" xfId="0" applyNumberFormat="1" applyFont="1" applyBorder="1" applyAlignment="1">
      <alignment vertical="top"/>
    </xf>
    <xf numFmtId="0" fontId="26" fillId="0" borderId="13" xfId="0" applyFont="1" applyBorder="1" applyAlignment="1">
      <alignment horizontal="center" vertical="center" wrapText="1"/>
    </xf>
    <xf numFmtId="0" fontId="26" fillId="0" borderId="13" xfId="0" applyFont="1" applyBorder="1" applyAlignment="1">
      <alignment horizontal="left" vertical="center" wrapText="1"/>
    </xf>
    <xf numFmtId="0" fontId="23" fillId="0" borderId="13" xfId="0" applyFont="1" applyBorder="1" applyAlignment="1">
      <alignment horizontal="left" vertical="center" wrapText="1"/>
    </xf>
    <xf numFmtId="0" fontId="23" fillId="0" borderId="13" xfId="0" applyFont="1" applyBorder="1" applyAlignment="1">
      <alignment horizontal="left" vertical="center" textRotation="90" wrapText="1"/>
    </xf>
    <xf numFmtId="49" fontId="25" fillId="0" borderId="13" xfId="0" applyNumberFormat="1" applyFont="1" applyBorder="1" applyAlignment="1">
      <alignment horizontal="left" vertical="top" shrinkToFit="1"/>
    </xf>
    <xf numFmtId="0" fontId="26" fillId="0" borderId="10" xfId="0" applyFont="1" applyBorder="1" applyAlignment="1">
      <alignment horizontal="left" vertical="center" wrapText="1"/>
    </xf>
    <xf numFmtId="1" fontId="25" fillId="0" borderId="13" xfId="0" applyNumberFormat="1" applyFont="1" applyBorder="1" applyAlignment="1">
      <alignment horizontal="center" vertical="top" shrinkToFit="1"/>
    </xf>
    <xf numFmtId="49" fontId="26" fillId="0" borderId="13" xfId="0" applyNumberFormat="1" applyFont="1" applyBorder="1" applyAlignment="1">
      <alignment horizontal="left" vertical="top" shrinkToFit="1"/>
    </xf>
    <xf numFmtId="0" fontId="14" fillId="9" borderId="13" xfId="0" applyFont="1" applyFill="1" applyBorder="1" applyAlignment="1">
      <alignment vertical="top" wrapText="1"/>
    </xf>
    <xf numFmtId="0" fontId="26" fillId="9" borderId="13" xfId="0" applyFont="1" applyFill="1" applyBorder="1" applyAlignment="1">
      <alignment wrapText="1"/>
    </xf>
    <xf numFmtId="0" fontId="25" fillId="9" borderId="13" xfId="0" applyFont="1" applyFill="1" applyBorder="1" applyAlignment="1">
      <alignment horizontal="left" vertical="top" wrapText="1"/>
    </xf>
    <xf numFmtId="0" fontId="14" fillId="9" borderId="13" xfId="0" applyFont="1" applyFill="1" applyBorder="1" applyAlignment="1">
      <alignment horizontal="center" vertical="center" wrapText="1"/>
    </xf>
    <xf numFmtId="0" fontId="26" fillId="9" borderId="13" xfId="0" applyFont="1" applyFill="1" applyBorder="1" applyAlignment="1">
      <alignment horizontal="center" vertical="top" wrapText="1"/>
    </xf>
    <xf numFmtId="0" fontId="14" fillId="0" borderId="73" xfId="0" applyFont="1" applyBorder="1" applyAlignment="1">
      <alignment horizontal="center" vertical="center" wrapText="1"/>
    </xf>
    <xf numFmtId="0" fontId="7" fillId="0" borderId="74" xfId="0" applyFont="1" applyBorder="1" applyAlignment="1">
      <alignment horizontal="center" vertical="center" wrapText="1"/>
    </xf>
    <xf numFmtId="0" fontId="7" fillId="0" borderId="75" xfId="0" applyFont="1" applyBorder="1" applyAlignment="1">
      <alignment horizontal="center" vertical="center" wrapText="1"/>
    </xf>
    <xf numFmtId="0" fontId="7" fillId="0" borderId="24" xfId="0" applyFont="1" applyBorder="1" applyAlignment="1">
      <alignment horizontal="center" vertical="center"/>
    </xf>
    <xf numFmtId="0" fontId="7" fillId="0" borderId="13" xfId="0" applyFont="1" applyBorder="1" applyAlignment="1">
      <alignment horizontal="center" vertical="center"/>
    </xf>
    <xf numFmtId="10" fontId="1" fillId="0" borderId="76" xfId="0" applyNumberFormat="1" applyFont="1" applyBorder="1" applyAlignment="1">
      <alignment horizontal="center" vertical="center"/>
    </xf>
    <xf numFmtId="0" fontId="7" fillId="0" borderId="29"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3" xfId="0" applyFont="1" applyBorder="1" applyAlignment="1">
      <alignment horizontal="center" vertical="center"/>
    </xf>
    <xf numFmtId="0" fontId="9" fillId="0" borderId="4" xfId="0" applyFont="1" applyBorder="1"/>
    <xf numFmtId="0" fontId="9" fillId="0" borderId="5" xfId="0" applyFont="1" applyBorder="1"/>
    <xf numFmtId="0" fontId="1" fillId="0" borderId="5" xfId="0" applyFont="1" applyBorder="1" applyAlignment="1">
      <alignment horizontal="center" vertical="center"/>
    </xf>
    <xf numFmtId="0" fontId="9" fillId="0" borderId="6" xfId="0" applyFont="1" applyBorder="1"/>
    <xf numFmtId="0" fontId="9" fillId="0" borderId="7" xfId="0" applyFont="1" applyBorder="1"/>
    <xf numFmtId="0" fontId="9" fillId="0" borderId="8" xfId="0" applyFont="1" applyBorder="1"/>
    <xf numFmtId="0" fontId="7" fillId="5" borderId="19" xfId="0" applyFont="1" applyFill="1" applyBorder="1" applyAlignment="1">
      <alignment horizontal="center" vertical="center" wrapText="1"/>
    </xf>
    <xf numFmtId="0" fontId="7" fillId="5" borderId="53" xfId="0" applyFont="1" applyFill="1" applyBorder="1" applyAlignment="1">
      <alignment vertical="center" wrapText="1"/>
    </xf>
    <xf numFmtId="0" fontId="7" fillId="5" borderId="22" xfId="0" applyFont="1" applyFill="1" applyBorder="1" applyAlignment="1">
      <alignment vertical="center" wrapText="1"/>
    </xf>
    <xf numFmtId="0" fontId="7" fillId="5" borderId="54" xfId="0" applyFont="1" applyFill="1" applyBorder="1" applyAlignment="1">
      <alignment vertical="center" wrapText="1"/>
    </xf>
    <xf numFmtId="0" fontId="7" fillId="5" borderId="58" xfId="0" applyFont="1" applyFill="1" applyBorder="1" applyAlignment="1">
      <alignment vertical="center" wrapText="1"/>
    </xf>
    <xf numFmtId="0" fontId="7" fillId="5" borderId="31" xfId="0" applyFont="1" applyFill="1" applyBorder="1" applyAlignment="1">
      <alignment vertical="center" wrapText="1"/>
    </xf>
    <xf numFmtId="0" fontId="8" fillId="5" borderId="58" xfId="0" applyFont="1" applyFill="1" applyBorder="1" applyAlignment="1">
      <alignment horizontal="center" vertical="center" wrapText="1"/>
    </xf>
    <xf numFmtId="0" fontId="7" fillId="5" borderId="58" xfId="0" applyFont="1" applyFill="1" applyBorder="1" applyAlignment="1">
      <alignment horizontal="center" vertical="center" wrapText="1"/>
    </xf>
    <xf numFmtId="0" fontId="7" fillId="5" borderId="31" xfId="0" applyFont="1" applyFill="1" applyBorder="1" applyAlignment="1">
      <alignment horizontal="center" vertical="center" wrapText="1"/>
    </xf>
    <xf numFmtId="0" fontId="8" fillId="5" borderId="30" xfId="0" applyFont="1" applyFill="1" applyBorder="1" applyAlignment="1">
      <alignment vertical="center" wrapText="1"/>
    </xf>
    <xf numFmtId="0" fontId="8" fillId="5" borderId="58" xfId="0" applyFont="1" applyFill="1" applyBorder="1" applyAlignment="1">
      <alignment vertical="center" wrapText="1"/>
    </xf>
    <xf numFmtId="0" fontId="4" fillId="0" borderId="4" xfId="0" applyFont="1" applyBorder="1"/>
    <xf numFmtId="0" fontId="4" fillId="0" borderId="0" xfId="0" applyFont="1"/>
    <xf numFmtId="0" fontId="33" fillId="0" borderId="0" xfId="0" applyFont="1" applyAlignment="1">
      <alignment horizontal="left" vertical="center" wrapText="1"/>
    </xf>
    <xf numFmtId="0" fontId="4" fillId="0" borderId="5" xfId="0" applyFont="1" applyBorder="1"/>
    <xf numFmtId="0" fontId="20" fillId="0" borderId="13" xfId="0" applyFont="1" applyBorder="1" applyAlignment="1">
      <alignment vertical="center"/>
    </xf>
    <xf numFmtId="0" fontId="20" fillId="0" borderId="51" xfId="0" applyFont="1" applyBorder="1" applyAlignment="1">
      <alignment vertical="center"/>
    </xf>
    <xf numFmtId="0" fontId="1" fillId="5" borderId="92" xfId="0" applyFont="1" applyFill="1" applyBorder="1" applyAlignment="1">
      <alignment horizontal="center" vertical="center" wrapText="1"/>
    </xf>
    <xf numFmtId="0" fontId="1" fillId="5" borderId="19" xfId="0" applyFont="1" applyFill="1" applyBorder="1" applyAlignment="1">
      <alignment vertical="center" wrapText="1"/>
    </xf>
    <xf numFmtId="0" fontId="8" fillId="5" borderId="19" xfId="0" applyFont="1" applyFill="1" applyBorder="1" applyAlignment="1">
      <alignment horizontal="center" vertical="center" wrapText="1"/>
    </xf>
    <xf numFmtId="0" fontId="8" fillId="5" borderId="19" xfId="0" applyFont="1" applyFill="1" applyBorder="1" applyAlignment="1">
      <alignment horizontal="center" vertical="center"/>
    </xf>
    <xf numFmtId="0" fontId="20" fillId="0" borderId="0" xfId="0" applyFont="1" applyAlignment="1">
      <alignment vertical="center"/>
    </xf>
    <xf numFmtId="0" fontId="20" fillId="0" borderId="5" xfId="0" applyFont="1" applyBorder="1" applyAlignment="1">
      <alignment vertical="center"/>
    </xf>
    <xf numFmtId="0" fontId="7" fillId="5" borderId="93" xfId="0" applyFont="1" applyFill="1" applyBorder="1" applyAlignment="1">
      <alignment vertical="center" wrapText="1"/>
    </xf>
    <xf numFmtId="0" fontId="7" fillId="5" borderId="94" xfId="0" applyFont="1" applyFill="1" applyBorder="1" applyAlignment="1">
      <alignment vertical="center" wrapText="1"/>
    </xf>
    <xf numFmtId="0" fontId="8" fillId="5" borderId="31" xfId="0" applyFont="1" applyFill="1" applyBorder="1" applyAlignment="1">
      <alignment horizontal="left" vertical="center" wrapText="1"/>
    </xf>
    <xf numFmtId="0" fontId="8" fillId="5" borderId="94" xfId="0" applyFont="1" applyFill="1" applyBorder="1" applyAlignment="1">
      <alignment vertical="center" wrapText="1"/>
    </xf>
    <xf numFmtId="0" fontId="8" fillId="5" borderId="93" xfId="0" applyFont="1" applyFill="1" applyBorder="1" applyAlignment="1">
      <alignment vertical="center" wrapText="1"/>
    </xf>
    <xf numFmtId="0" fontId="8" fillId="5" borderId="19" xfId="0" applyFont="1" applyFill="1" applyBorder="1" applyAlignment="1">
      <alignment vertical="center" wrapText="1"/>
    </xf>
    <xf numFmtId="0" fontId="34" fillId="5" borderId="19" xfId="0" applyFont="1" applyFill="1" applyBorder="1" applyAlignment="1">
      <alignment vertical="top" wrapText="1"/>
    </xf>
    <xf numFmtId="0" fontId="8" fillId="5" borderId="53" xfId="0" applyFont="1" applyFill="1" applyBorder="1" applyAlignment="1">
      <alignment vertical="center" wrapText="1"/>
    </xf>
    <xf numFmtId="0" fontId="8" fillId="5" borderId="22" xfId="0" applyFont="1" applyFill="1" applyBorder="1" applyAlignment="1">
      <alignment vertical="center" wrapText="1"/>
    </xf>
    <xf numFmtId="0" fontId="8" fillId="5" borderId="54" xfId="0" applyFont="1" applyFill="1" applyBorder="1" applyAlignment="1">
      <alignment vertical="center" wrapText="1"/>
    </xf>
    <xf numFmtId="0" fontId="8" fillId="5" borderId="53" xfId="0" applyFont="1" applyFill="1" applyBorder="1" applyAlignment="1">
      <alignment horizontal="left" vertical="center" wrapText="1"/>
    </xf>
    <xf numFmtId="0" fontId="8" fillId="5" borderId="22" xfId="0" applyFont="1" applyFill="1" applyBorder="1" applyAlignment="1">
      <alignment horizontal="left" vertical="center" wrapText="1"/>
    </xf>
    <xf numFmtId="0" fontId="8" fillId="5" borderId="54" xfId="0" applyFont="1" applyFill="1" applyBorder="1" applyAlignment="1">
      <alignment horizontal="left" vertical="center" wrapText="1"/>
    </xf>
    <xf numFmtId="0" fontId="8" fillId="5" borderId="53" xfId="0" applyFont="1" applyFill="1" applyBorder="1" applyAlignment="1">
      <alignment horizontal="center" vertical="center" wrapText="1"/>
    </xf>
    <xf numFmtId="0" fontId="32" fillId="5" borderId="22" xfId="0" applyFont="1" applyFill="1" applyBorder="1" applyAlignment="1">
      <alignment vertical="center" wrapText="1"/>
    </xf>
    <xf numFmtId="0" fontId="1" fillId="0" borderId="7" xfId="0" applyFont="1" applyBorder="1" applyAlignment="1">
      <alignment horizontal="left" vertical="center" wrapText="1"/>
    </xf>
    <xf numFmtId="0" fontId="34" fillId="5" borderId="22" xfId="0" applyFont="1" applyFill="1" applyBorder="1" applyAlignment="1">
      <alignment vertical="top" wrapText="1"/>
    </xf>
    <xf numFmtId="0" fontId="7" fillId="10" borderId="19" xfId="0" applyFont="1" applyFill="1" applyBorder="1" applyAlignment="1">
      <alignment vertical="center" wrapText="1"/>
    </xf>
    <xf numFmtId="0" fontId="7" fillId="0" borderId="0" xfId="0" applyFont="1" applyAlignment="1">
      <alignment vertical="center"/>
    </xf>
    <xf numFmtId="0" fontId="7" fillId="0" borderId="0" xfId="0" applyFont="1" applyAlignment="1">
      <alignment vertical="center" textRotation="90" wrapText="1"/>
    </xf>
    <xf numFmtId="0" fontId="32" fillId="5" borderId="19" xfId="0" applyFont="1" applyFill="1" applyBorder="1" applyAlignment="1">
      <alignment vertical="center" wrapText="1"/>
    </xf>
    <xf numFmtId="0" fontId="8" fillId="5" borderId="99" xfId="0" applyFont="1" applyFill="1" applyBorder="1" applyAlignment="1">
      <alignment vertical="center" wrapText="1"/>
    </xf>
    <xf numFmtId="0" fontId="8" fillId="5" borderId="103" xfId="0" applyFont="1" applyFill="1" applyBorder="1" applyAlignment="1">
      <alignment horizontal="left" vertical="center" wrapText="1"/>
    </xf>
    <xf numFmtId="0" fontId="8" fillId="5" borderId="104" xfId="0" applyFont="1" applyFill="1" applyBorder="1" applyAlignment="1">
      <alignment horizontal="left" vertical="center" wrapText="1"/>
    </xf>
    <xf numFmtId="0" fontId="8" fillId="5" borderId="105" xfId="0" applyFont="1" applyFill="1" applyBorder="1" applyAlignment="1">
      <alignment horizontal="left" vertical="center" wrapText="1"/>
    </xf>
    <xf numFmtId="0" fontId="1" fillId="0" borderId="0" xfId="0" applyFont="1" applyAlignment="1">
      <alignment horizontal="left" vertical="center" wrapText="1"/>
    </xf>
    <xf numFmtId="0" fontId="0" fillId="0" borderId="0" xfId="0"/>
    <xf numFmtId="0" fontId="10" fillId="4" borderId="15" xfId="0" applyFont="1" applyFill="1" applyBorder="1" applyAlignment="1">
      <alignment horizontal="center" vertical="center" wrapText="1"/>
    </xf>
    <xf numFmtId="0" fontId="3" fillId="0" borderId="16" xfId="0" applyFont="1" applyBorder="1"/>
    <xf numFmtId="0" fontId="3" fillId="0" borderId="17" xfId="0" applyFont="1" applyBorder="1"/>
    <xf numFmtId="2" fontId="8" fillId="6" borderId="25" xfId="0" applyNumberFormat="1" applyFont="1" applyFill="1" applyBorder="1" applyAlignment="1">
      <alignment horizontal="left" vertical="center" wrapText="1"/>
    </xf>
    <xf numFmtId="0" fontId="3" fillId="0" borderId="10" xfId="0" applyFont="1" applyBorder="1"/>
    <xf numFmtId="0" fontId="3" fillId="0" borderId="14" xfId="0" applyFont="1" applyBorder="1"/>
    <xf numFmtId="2" fontId="8" fillId="0" borderId="10" xfId="0" applyNumberFormat="1" applyFont="1" applyBorder="1" applyAlignment="1">
      <alignment horizontal="left" vertical="center" wrapText="1"/>
    </xf>
    <xf numFmtId="0" fontId="8" fillId="0" borderId="25" xfId="0" applyFont="1" applyBorder="1" applyAlignment="1">
      <alignment horizontal="center" vertical="center" wrapText="1"/>
    </xf>
    <xf numFmtId="0" fontId="3" fillId="0" borderId="26" xfId="0" applyFont="1" applyBorder="1"/>
    <xf numFmtId="0" fontId="12" fillId="0" borderId="25" xfId="0" applyFont="1" applyBorder="1" applyAlignment="1">
      <alignment horizontal="center" wrapText="1"/>
    </xf>
    <xf numFmtId="0" fontId="10" fillId="3" borderId="9"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 fillId="0" borderId="4" xfId="0" applyFont="1" applyBorder="1" applyAlignment="1">
      <alignment horizontal="left" vertical="center" wrapText="1"/>
    </xf>
    <xf numFmtId="0" fontId="3" fillId="0" borderId="12" xfId="0" applyFont="1" applyBorder="1"/>
    <xf numFmtId="0" fontId="8" fillId="0" borderId="4" xfId="0" applyFont="1" applyBorder="1" applyAlignment="1">
      <alignment horizontal="left" vertical="center" wrapText="1"/>
    </xf>
    <xf numFmtId="0" fontId="1" fillId="0" borderId="11" xfId="0" applyFont="1" applyBorder="1" applyAlignment="1">
      <alignment horizontal="left" vertical="center" wrapText="1"/>
    </xf>
    <xf numFmtId="0" fontId="8" fillId="0" borderId="28" xfId="0" applyFont="1" applyBorder="1"/>
    <xf numFmtId="0" fontId="3" fillId="0" borderId="28" xfId="0" applyFont="1" applyBorder="1"/>
    <xf numFmtId="0" fontId="3" fillId="0" borderId="32" xfId="0" applyFont="1" applyBorder="1"/>
    <xf numFmtId="0" fontId="2" fillId="0" borderId="2" xfId="0" applyFont="1" applyBorder="1" applyAlignment="1">
      <alignment horizontal="center" vertical="center" wrapText="1"/>
    </xf>
    <xf numFmtId="0" fontId="3" fillId="0" borderId="2" xfId="0" applyFont="1" applyBorder="1"/>
    <xf numFmtId="0" fontId="4" fillId="0" borderId="2" xfId="0" applyFont="1" applyBorder="1" applyAlignment="1">
      <alignment horizontal="right" vertical="top"/>
    </xf>
    <xf numFmtId="0" fontId="3" fillId="0" borderId="3" xfId="0" applyFont="1" applyBorder="1"/>
    <xf numFmtId="0" fontId="3" fillId="0" borderId="5" xfId="0" applyFont="1" applyBorder="1"/>
    <xf numFmtId="0" fontId="6" fillId="2" borderId="9" xfId="0" applyFont="1" applyFill="1" applyBorder="1" applyAlignment="1">
      <alignment horizontal="center" vertical="center" wrapText="1"/>
    </xf>
    <xf numFmtId="0" fontId="1" fillId="0" borderId="11" xfId="0" applyFont="1" applyBorder="1" applyAlignment="1">
      <alignment horizontal="left" vertical="center"/>
    </xf>
    <xf numFmtId="0" fontId="1" fillId="0" borderId="7" xfId="0" applyFont="1" applyBorder="1" applyAlignment="1">
      <alignment vertical="center" wrapText="1"/>
    </xf>
    <xf numFmtId="0" fontId="3" fillId="0" borderId="7" xfId="0" applyFont="1" applyBorder="1"/>
    <xf numFmtId="14" fontId="1" fillId="0" borderId="10" xfId="0" applyNumberFormat="1" applyFont="1" applyBorder="1" applyAlignment="1">
      <alignment horizontal="left" vertical="center" wrapText="1"/>
    </xf>
    <xf numFmtId="0" fontId="1" fillId="0" borderId="10" xfId="0" applyFont="1" applyBorder="1" applyAlignment="1">
      <alignment horizontal="center" vertical="center" wrapText="1"/>
    </xf>
    <xf numFmtId="0" fontId="3" fillId="0" borderId="11" xfId="0" applyFont="1" applyBorder="1"/>
    <xf numFmtId="0" fontId="8" fillId="0" borderId="34" xfId="0" applyFont="1" applyBorder="1" applyAlignment="1">
      <alignment horizontal="left" vertical="center" wrapText="1"/>
    </xf>
    <xf numFmtId="0" fontId="3" fillId="0" borderId="35" xfId="0" applyFont="1" applyBorder="1"/>
    <xf numFmtId="0" fontId="3" fillId="0" borderId="36" xfId="0" applyFont="1" applyBorder="1"/>
    <xf numFmtId="0" fontId="8" fillId="5" borderId="34" xfId="0" applyFont="1" applyFill="1" applyBorder="1" applyAlignment="1">
      <alignment horizontal="center" vertical="center" wrapText="1"/>
    </xf>
    <xf numFmtId="0" fontId="8" fillId="0" borderId="34" xfId="0" applyFont="1" applyBorder="1" applyAlignment="1">
      <alignment horizontal="center" vertical="center" wrapText="1"/>
    </xf>
    <xf numFmtId="0" fontId="3" fillId="0" borderId="37" xfId="0" applyFont="1" applyBorder="1"/>
    <xf numFmtId="2" fontId="8" fillId="0" borderId="25" xfId="0" applyNumberFormat="1" applyFont="1" applyBorder="1" applyAlignment="1">
      <alignment horizontal="left" vertical="center" wrapText="1"/>
    </xf>
    <xf numFmtId="0" fontId="13" fillId="0" borderId="25" xfId="0" applyFont="1" applyBorder="1" applyAlignment="1">
      <alignment horizontal="center" vertical="center" wrapText="1"/>
    </xf>
    <xf numFmtId="0" fontId="8" fillId="0" borderId="25" xfId="0" applyFont="1" applyBorder="1" applyAlignment="1">
      <alignment horizontal="left" vertical="center" wrapText="1"/>
    </xf>
    <xf numFmtId="0" fontId="8" fillId="5" borderId="25" xfId="0" applyFont="1" applyFill="1" applyBorder="1" applyAlignment="1">
      <alignment horizontal="center" vertical="center" wrapText="1"/>
    </xf>
    <xf numFmtId="0" fontId="12" fillId="0" borderId="25" xfId="0" applyFont="1" applyBorder="1" applyAlignment="1">
      <alignment horizontal="center" vertical="center" wrapText="1"/>
    </xf>
    <xf numFmtId="0" fontId="11" fillId="0" borderId="11" xfId="0" applyFont="1" applyBorder="1" applyAlignment="1">
      <alignment horizontal="left" vertical="center" wrapText="1"/>
    </xf>
    <xf numFmtId="0" fontId="7" fillId="5" borderId="25" xfId="0" applyFont="1" applyFill="1" applyBorder="1" applyAlignment="1">
      <alignment horizontal="center" vertical="center" wrapText="1"/>
    </xf>
    <xf numFmtId="0" fontId="8" fillId="0" borderId="27" xfId="0" applyFont="1" applyBorder="1" applyAlignment="1">
      <alignment horizontal="center" vertical="center" wrapText="1"/>
    </xf>
    <xf numFmtId="0" fontId="3" fillId="0" borderId="29" xfId="0" applyFont="1" applyBorder="1"/>
    <xf numFmtId="0" fontId="12" fillId="0" borderId="25" xfId="0" applyFont="1" applyBorder="1" applyAlignment="1">
      <alignment horizontal="center"/>
    </xf>
    <xf numFmtId="0" fontId="12" fillId="0" borderId="25" xfId="0" applyFont="1" applyBorder="1" applyAlignment="1">
      <alignment horizontal="center" vertical="center"/>
    </xf>
    <xf numFmtId="0" fontId="7" fillId="0" borderId="25" xfId="0" applyFont="1" applyBorder="1" applyAlignment="1">
      <alignment horizontal="left" vertical="center" wrapText="1"/>
    </xf>
    <xf numFmtId="0" fontId="17" fillId="7" borderId="25" xfId="0" applyFont="1" applyFill="1" applyBorder="1" applyAlignment="1">
      <alignment horizontal="center" vertical="center" wrapText="1"/>
    </xf>
    <xf numFmtId="0" fontId="1" fillId="0" borderId="25" xfId="0" applyFont="1" applyBorder="1" applyAlignment="1">
      <alignment horizontal="center" vertical="center" wrapText="1"/>
    </xf>
    <xf numFmtId="0" fontId="7" fillId="0" borderId="25" xfId="0" applyFont="1" applyBorder="1" applyAlignment="1">
      <alignment horizontal="center" vertical="center" wrapText="1"/>
    </xf>
    <xf numFmtId="0" fontId="1" fillId="5" borderId="25" xfId="0" applyFont="1" applyFill="1" applyBorder="1" applyAlignment="1">
      <alignment horizontal="left" vertical="center" wrapText="1"/>
    </xf>
    <xf numFmtId="0" fontId="7" fillId="3" borderId="25" xfId="0" applyFont="1" applyFill="1" applyBorder="1" applyAlignment="1">
      <alignment horizontal="center" vertical="center" wrapText="1"/>
    </xf>
    <xf numFmtId="0" fontId="7" fillId="5" borderId="25" xfId="0" applyFont="1" applyFill="1" applyBorder="1" applyAlignment="1">
      <alignment horizontal="left" vertical="center" wrapText="1"/>
    </xf>
    <xf numFmtId="0" fontId="7" fillId="3" borderId="25" xfId="0" applyFont="1" applyFill="1" applyBorder="1" applyAlignment="1">
      <alignment horizontal="left" vertical="center" wrapText="1"/>
    </xf>
    <xf numFmtId="0" fontId="7" fillId="4" borderId="44" xfId="0" applyFont="1" applyFill="1" applyBorder="1" applyAlignment="1">
      <alignment horizontal="left" vertical="center" wrapText="1"/>
    </xf>
    <xf numFmtId="0" fontId="3" fillId="0" borderId="45" xfId="0" applyFont="1" applyBorder="1"/>
    <xf numFmtId="0" fontId="14" fillId="4" borderId="25" xfId="0" applyFont="1" applyFill="1" applyBorder="1" applyAlignment="1">
      <alignment horizontal="center" vertical="center" wrapText="1"/>
    </xf>
    <xf numFmtId="0" fontId="8" fillId="5" borderId="44" xfId="0" applyFont="1" applyFill="1" applyBorder="1" applyAlignment="1">
      <alignment horizontal="center" vertical="center" wrapText="1"/>
    </xf>
    <xf numFmtId="0" fontId="8" fillId="0" borderId="6" xfId="0" applyFont="1" applyBorder="1" applyAlignment="1">
      <alignment horizontal="center" vertical="center" wrapText="1"/>
    </xf>
    <xf numFmtId="0" fontId="3" fillId="0" borderId="8" xfId="0" applyFont="1" applyBorder="1"/>
    <xf numFmtId="0" fontId="7" fillId="0" borderId="6" xfId="0" applyFont="1" applyBorder="1" applyAlignment="1">
      <alignment horizontal="center" vertical="center" wrapText="1"/>
    </xf>
    <xf numFmtId="0" fontId="10" fillId="3" borderId="25" xfId="0" applyFont="1" applyFill="1" applyBorder="1" applyAlignment="1">
      <alignment horizontal="center" wrapText="1"/>
    </xf>
    <xf numFmtId="0" fontId="10" fillId="0" borderId="25" xfId="0" applyFont="1" applyBorder="1" applyAlignment="1">
      <alignment horizontal="left" vertical="center" wrapText="1"/>
    </xf>
    <xf numFmtId="0" fontId="7" fillId="4" borderId="38" xfId="0" applyFont="1" applyFill="1" applyBorder="1" applyAlignment="1">
      <alignment horizontal="left" vertical="center" wrapText="1"/>
    </xf>
    <xf numFmtId="0" fontId="3" fillId="0" borderId="39" xfId="0" applyFont="1" applyBorder="1"/>
    <xf numFmtId="0" fontId="14" fillId="4" borderId="41" xfId="0" applyFont="1" applyFill="1" applyBorder="1" applyAlignment="1">
      <alignment horizontal="center" vertical="center" wrapText="1"/>
    </xf>
    <xf numFmtId="0" fontId="3" fillId="0" borderId="42" xfId="0" applyFont="1" applyBorder="1"/>
    <xf numFmtId="0" fontId="3" fillId="0" borderId="43" xfId="0" applyFont="1" applyBorder="1"/>
    <xf numFmtId="0" fontId="1" fillId="0" borderId="0" xfId="0" applyFont="1" applyAlignment="1">
      <alignment horizontal="center" vertical="center" wrapText="1"/>
    </xf>
    <xf numFmtId="0" fontId="7" fillId="3" borderId="48" xfId="0" applyFont="1" applyFill="1" applyBorder="1" applyAlignment="1">
      <alignment horizontal="center" vertical="center" wrapText="1"/>
    </xf>
    <xf numFmtId="0" fontId="3" fillId="0" borderId="49" xfId="0" applyFont="1" applyBorder="1"/>
    <xf numFmtId="0" fontId="3" fillId="0" borderId="50" xfId="0" applyFont="1" applyBorder="1"/>
    <xf numFmtId="0" fontId="7" fillId="5" borderId="51" xfId="0" applyFont="1" applyFill="1" applyBorder="1" applyAlignment="1">
      <alignment horizontal="center" vertical="center" wrapText="1"/>
    </xf>
    <xf numFmtId="0" fontId="3" fillId="0" borderId="52" xfId="0" applyFont="1" applyBorder="1"/>
    <xf numFmtId="0" fontId="7" fillId="5" borderId="1" xfId="0" applyFont="1" applyFill="1" applyBorder="1" applyAlignment="1">
      <alignment horizontal="center" vertical="center" wrapText="1"/>
    </xf>
    <xf numFmtId="0" fontId="3" fillId="0" borderId="6" xfId="0" applyFont="1" applyBorder="1"/>
    <xf numFmtId="0" fontId="19" fillId="0" borderId="25" xfId="0" applyFont="1" applyBorder="1" applyAlignment="1">
      <alignment horizontal="left" vertical="top" wrapText="1"/>
    </xf>
    <xf numFmtId="0" fontId="7" fillId="0" borderId="51" xfId="0" applyFont="1" applyBorder="1" applyAlignment="1">
      <alignment horizontal="center" vertical="center" wrapText="1"/>
    </xf>
    <xf numFmtId="0" fontId="7" fillId="4" borderId="25" xfId="0" applyFont="1" applyFill="1" applyBorder="1" applyAlignment="1">
      <alignment horizontal="left" vertical="top" wrapText="1"/>
    </xf>
    <xf numFmtId="0" fontId="7" fillId="4" borderId="25" xfId="0" applyFont="1" applyFill="1" applyBorder="1" applyAlignment="1">
      <alignment horizontal="center" vertical="center"/>
    </xf>
    <xf numFmtId="0" fontId="1" fillId="0" borderId="25" xfId="0" applyFont="1" applyBorder="1" applyAlignment="1">
      <alignment horizontal="left" vertical="center" wrapText="1"/>
    </xf>
    <xf numFmtId="0" fontId="4" fillId="0" borderId="25" xfId="0" applyFont="1" applyBorder="1" applyAlignment="1">
      <alignment horizontal="left" vertical="center"/>
    </xf>
    <xf numFmtId="0" fontId="10" fillId="8" borderId="25"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4" xfId="0" applyFont="1" applyBorder="1"/>
    <xf numFmtId="0" fontId="4" fillId="0" borderId="51" xfId="0" applyFont="1" applyBorder="1" applyAlignment="1">
      <alignment horizontal="center" vertical="center"/>
    </xf>
    <xf numFmtId="0" fontId="3" fillId="0" borderId="56" xfId="0" applyFont="1" applyBorder="1"/>
    <xf numFmtId="0" fontId="1" fillId="0" borderId="1" xfId="0" applyFont="1" applyBorder="1" applyAlignment="1">
      <alignment horizontal="left" vertical="center" wrapText="1"/>
    </xf>
    <xf numFmtId="0" fontId="8" fillId="0" borderId="1" xfId="0" applyFont="1" applyBorder="1" applyAlignment="1">
      <alignment horizontal="center" vertical="center" wrapText="1"/>
    </xf>
    <xf numFmtId="0" fontId="10" fillId="4" borderId="25" xfId="0" applyFont="1" applyFill="1" applyBorder="1" applyAlignment="1">
      <alignment horizontal="center" vertical="center" wrapText="1"/>
    </xf>
    <xf numFmtId="0" fontId="7" fillId="0" borderId="6" xfId="0" applyFont="1" applyBorder="1" applyAlignment="1">
      <alignment horizontal="left" vertical="center" wrapText="1"/>
    </xf>
    <xf numFmtId="0" fontId="1" fillId="0" borderId="51" xfId="0" applyFont="1" applyBorder="1" applyAlignment="1">
      <alignment horizontal="left" vertical="center" wrapText="1"/>
    </xf>
    <xf numFmtId="0" fontId="10" fillId="3" borderId="25" xfId="0" applyFont="1" applyFill="1" applyBorder="1" applyAlignment="1">
      <alignment horizontal="center" vertical="center" wrapText="1"/>
    </xf>
    <xf numFmtId="0" fontId="7" fillId="5" borderId="41" xfId="0" applyFont="1" applyFill="1" applyBorder="1" applyAlignment="1">
      <alignment horizontal="left" vertical="center" wrapText="1"/>
    </xf>
    <xf numFmtId="0" fontId="7" fillId="5" borderId="55" xfId="0" applyFont="1" applyFill="1" applyBorder="1" applyAlignment="1">
      <alignment horizontal="center" vertical="center" wrapText="1"/>
    </xf>
    <xf numFmtId="49" fontId="23" fillId="8" borderId="59" xfId="0" applyNumberFormat="1" applyFont="1" applyFill="1" applyBorder="1" applyAlignment="1">
      <alignment horizontal="left" vertical="center" wrapText="1"/>
    </xf>
    <xf numFmtId="0" fontId="3" fillId="0" borderId="60" xfId="0" applyFont="1" applyBorder="1"/>
    <xf numFmtId="0" fontId="24" fillId="8" borderId="61" xfId="0" applyFont="1" applyFill="1" applyBorder="1" applyAlignment="1">
      <alignment horizontal="center" vertical="center" wrapText="1"/>
    </xf>
    <xf numFmtId="0" fontId="3" fillId="0" borderId="62" xfId="0" applyFont="1" applyBorder="1"/>
    <xf numFmtId="0" fontId="23" fillId="8" borderId="61" xfId="0" applyFont="1" applyFill="1" applyBorder="1" applyAlignment="1">
      <alignment horizontal="center" vertical="center" wrapText="1"/>
    </xf>
    <xf numFmtId="0" fontId="3" fillId="0" borderId="63" xfId="0" applyFont="1" applyBorder="1"/>
    <xf numFmtId="49" fontId="14" fillId="0" borderId="25" xfId="0" applyNumberFormat="1" applyFont="1" applyBorder="1" applyAlignment="1">
      <alignment horizontal="left" vertical="center" wrapText="1"/>
    </xf>
    <xf numFmtId="0" fontId="24" fillId="0" borderId="25" xfId="0" applyFont="1" applyBorder="1" applyAlignment="1">
      <alignment horizontal="center" vertical="center" wrapText="1"/>
    </xf>
    <xf numFmtId="49" fontId="14" fillId="4" borderId="25" xfId="0" applyNumberFormat="1" applyFont="1" applyFill="1" applyBorder="1" applyAlignment="1">
      <alignment horizontal="left" vertical="center" wrapText="1"/>
    </xf>
    <xf numFmtId="49" fontId="26" fillId="6" borderId="44" xfId="0" applyNumberFormat="1" applyFont="1" applyFill="1" applyBorder="1" applyAlignment="1">
      <alignment horizontal="center" vertical="top"/>
    </xf>
    <xf numFmtId="49" fontId="14" fillId="0" borderId="25" xfId="0" applyNumberFormat="1" applyFont="1" applyBorder="1" applyAlignment="1">
      <alignment horizontal="left" vertical="top" wrapText="1"/>
    </xf>
    <xf numFmtId="49" fontId="23" fillId="0" borderId="25" xfId="0" applyNumberFormat="1" applyFont="1" applyBorder="1" applyAlignment="1">
      <alignment horizontal="left" vertical="center" wrapText="1"/>
    </xf>
    <xf numFmtId="49" fontId="14" fillId="9" borderId="25" xfId="0" applyNumberFormat="1" applyFont="1" applyFill="1" applyBorder="1" applyAlignment="1">
      <alignment horizontal="left" vertical="top" wrapText="1"/>
    </xf>
    <xf numFmtId="0" fontId="30" fillId="7" borderId="1" xfId="0" applyFont="1" applyFill="1" applyBorder="1" applyAlignment="1">
      <alignment horizontal="center" vertical="center"/>
    </xf>
    <xf numFmtId="0" fontId="3" fillId="0" borderId="66" xfId="0" applyFont="1" applyBorder="1"/>
    <xf numFmtId="0" fontId="3" fillId="0" borderId="67" xfId="0" applyFont="1" applyBorder="1"/>
    <xf numFmtId="0" fontId="3" fillId="0" borderId="68" xfId="0" applyFont="1" applyBorder="1"/>
    <xf numFmtId="10" fontId="30" fillId="7" borderId="1" xfId="0" applyNumberFormat="1" applyFont="1" applyFill="1" applyBorder="1" applyAlignment="1">
      <alignment horizontal="center" vertical="center"/>
    </xf>
    <xf numFmtId="0" fontId="3" fillId="0" borderId="64" xfId="0" applyFont="1" applyBorder="1"/>
    <xf numFmtId="0" fontId="3" fillId="0" borderId="69" xfId="0" applyFont="1" applyBorder="1"/>
    <xf numFmtId="0" fontId="26" fillId="0" borderId="25" xfId="0" applyFont="1" applyBorder="1" applyAlignment="1">
      <alignment horizontal="center" vertical="top" wrapText="1"/>
    </xf>
    <xf numFmtId="49" fontId="10" fillId="3" borderId="25" xfId="0" applyNumberFormat="1" applyFont="1" applyFill="1" applyBorder="1" applyAlignment="1">
      <alignment horizontal="center" vertical="center" wrapText="1"/>
    </xf>
    <xf numFmtId="49" fontId="10" fillId="0" borderId="1" xfId="0" applyNumberFormat="1" applyFont="1" applyBorder="1" applyAlignment="1">
      <alignment horizontal="left" vertical="center" wrapText="1"/>
    </xf>
    <xf numFmtId="0" fontId="10" fillId="0" borderId="25" xfId="0" applyFont="1" applyBorder="1" applyAlignment="1">
      <alignment horizontal="left" vertical="top" wrapText="1"/>
    </xf>
    <xf numFmtId="0" fontId="22" fillId="0" borderId="25" xfId="0" applyFont="1" applyBorder="1" applyAlignment="1">
      <alignment horizontal="left" vertical="top" wrapText="1"/>
    </xf>
    <xf numFmtId="49" fontId="23" fillId="0" borderId="25" xfId="0" applyNumberFormat="1" applyFont="1" applyBorder="1" applyAlignment="1">
      <alignment horizontal="center" vertical="center" wrapText="1"/>
    </xf>
    <xf numFmtId="49" fontId="25" fillId="0" borderId="9" xfId="0" applyNumberFormat="1" applyFont="1" applyBorder="1" applyAlignment="1">
      <alignment horizontal="left" vertical="top" wrapText="1"/>
    </xf>
    <xf numFmtId="49" fontId="25" fillId="7" borderId="65" xfId="0" applyNumberFormat="1" applyFont="1" applyFill="1" applyBorder="1" applyAlignment="1">
      <alignment horizontal="left" vertical="top" wrapText="1"/>
    </xf>
    <xf numFmtId="0" fontId="26" fillId="0" borderId="34" xfId="0" applyFont="1" applyBorder="1" applyAlignment="1">
      <alignment horizontal="center" vertical="top" wrapText="1"/>
    </xf>
    <xf numFmtId="0" fontId="26" fillId="7" borderId="34" xfId="0" applyFont="1" applyFill="1" applyBorder="1" applyAlignment="1">
      <alignment horizontal="center"/>
    </xf>
    <xf numFmtId="49" fontId="25" fillId="7" borderId="9" xfId="0" applyNumberFormat="1" applyFont="1" applyFill="1" applyBorder="1" applyAlignment="1">
      <alignment horizontal="left" vertical="top" wrapText="1"/>
    </xf>
    <xf numFmtId="0" fontId="26" fillId="7" borderId="25" xfId="0" applyFont="1" applyFill="1" applyBorder="1" applyAlignment="1">
      <alignment horizontal="center" vertical="top" wrapText="1"/>
    </xf>
    <xf numFmtId="0" fontId="1" fillId="0" borderId="4" xfId="0" applyFont="1" applyBorder="1" applyAlignment="1">
      <alignment horizontal="center" vertical="center" wrapText="1"/>
    </xf>
    <xf numFmtId="0" fontId="7" fillId="3" borderId="78" xfId="0" applyFont="1" applyFill="1" applyBorder="1" applyAlignment="1">
      <alignment horizontal="center" vertical="center"/>
    </xf>
    <xf numFmtId="0" fontId="3" fillId="0" borderId="79" xfId="0" applyFont="1" applyBorder="1"/>
    <xf numFmtId="0" fontId="3" fillId="0" borderId="80" xfId="0" applyFont="1" applyBorder="1"/>
    <xf numFmtId="0" fontId="7" fillId="3" borderId="81" xfId="0" applyFont="1" applyFill="1" applyBorder="1" applyAlignment="1">
      <alignment horizontal="center" vertical="center"/>
    </xf>
    <xf numFmtId="0" fontId="3" fillId="0" borderId="71" xfId="0" applyFont="1" applyBorder="1"/>
    <xf numFmtId="0" fontId="3" fillId="0" borderId="82" xfId="0" applyFont="1" applyBorder="1"/>
    <xf numFmtId="0" fontId="3" fillId="0" borderId="77" xfId="0" applyFont="1" applyBorder="1"/>
    <xf numFmtId="0" fontId="10" fillId="3" borderId="70" xfId="0" applyFont="1" applyFill="1" applyBorder="1" applyAlignment="1">
      <alignment horizontal="center" vertical="center"/>
    </xf>
    <xf numFmtId="0" fontId="3" fillId="0" borderId="72" xfId="0" applyFont="1" applyBorder="1"/>
    <xf numFmtId="0" fontId="31" fillId="0" borderId="0" xfId="0" applyFont="1" applyAlignment="1">
      <alignment horizontal="left" vertical="center" wrapText="1"/>
    </xf>
    <xf numFmtId="0" fontId="7" fillId="0" borderId="61" xfId="0" applyFont="1" applyBorder="1" applyAlignment="1">
      <alignment horizontal="center" vertical="center" wrapText="1"/>
    </xf>
    <xf numFmtId="0" fontId="7" fillId="0" borderId="25" xfId="0" applyFont="1" applyBorder="1" applyAlignment="1">
      <alignment horizontal="center" vertical="center"/>
    </xf>
    <xf numFmtId="0" fontId="7" fillId="0" borderId="78" xfId="0" applyFont="1" applyBorder="1" applyAlignment="1">
      <alignment horizontal="left" vertical="top" wrapText="1"/>
    </xf>
    <xf numFmtId="0" fontId="3" fillId="0" borderId="83" xfId="0" applyFont="1" applyBorder="1"/>
    <xf numFmtId="0" fontId="8" fillId="5" borderId="41" xfId="0" applyFont="1" applyFill="1" applyBorder="1" applyAlignment="1">
      <alignment horizontal="left" vertical="center" wrapText="1"/>
    </xf>
    <xf numFmtId="0" fontId="8" fillId="5" borderId="5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8" fillId="5" borderId="44" xfId="0" applyFont="1" applyFill="1" applyBorder="1" applyAlignment="1">
      <alignment horizontal="left" vertical="center" wrapText="1"/>
    </xf>
    <xf numFmtId="0" fontId="8" fillId="5" borderId="88" xfId="0" applyFont="1" applyFill="1" applyBorder="1" applyAlignment="1">
      <alignment horizontal="left" vertical="center" wrapText="1"/>
    </xf>
    <xf numFmtId="0" fontId="3" fillId="0" borderId="90" xfId="0" applyFont="1" applyBorder="1"/>
    <xf numFmtId="0" fontId="8" fillId="5" borderId="91" xfId="0" applyFont="1" applyFill="1" applyBorder="1" applyAlignment="1">
      <alignment horizontal="left" vertical="center" wrapText="1"/>
    </xf>
    <xf numFmtId="0" fontId="8" fillId="5" borderId="55" xfId="0" applyFont="1" applyFill="1" applyBorder="1" applyAlignment="1">
      <alignment horizontal="left" vertical="center" wrapText="1"/>
    </xf>
    <xf numFmtId="0" fontId="32" fillId="5" borderId="41" xfId="0" applyFont="1" applyFill="1" applyBorder="1" applyAlignment="1">
      <alignment horizontal="left" vertical="center" wrapText="1"/>
    </xf>
    <xf numFmtId="0" fontId="8" fillId="5" borderId="55" xfId="0" applyFont="1" applyFill="1" applyBorder="1" applyAlignment="1">
      <alignment horizontal="center" vertical="center" wrapText="1"/>
    </xf>
    <xf numFmtId="0" fontId="8" fillId="5" borderId="41" xfId="0" applyFont="1" applyFill="1" applyBorder="1" applyAlignment="1">
      <alignment horizontal="center" vertical="center" wrapText="1"/>
    </xf>
    <xf numFmtId="0" fontId="8" fillId="5" borderId="89"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10" fillId="10" borderId="25" xfId="0" applyFont="1" applyFill="1" applyBorder="1" applyAlignment="1">
      <alignment horizontal="center" vertical="center" wrapText="1"/>
    </xf>
    <xf numFmtId="0" fontId="7" fillId="5" borderId="84" xfId="0" applyFont="1" applyFill="1" applyBorder="1" applyAlignment="1">
      <alignment horizontal="center" vertical="center" wrapText="1"/>
    </xf>
    <xf numFmtId="0" fontId="7" fillId="5" borderId="85" xfId="0" applyFont="1" applyFill="1" applyBorder="1" applyAlignment="1">
      <alignment horizontal="center" vertical="center" wrapText="1"/>
    </xf>
    <xf numFmtId="0" fontId="3" fillId="0" borderId="86" xfId="0" applyFont="1" applyBorder="1"/>
    <xf numFmtId="0" fontId="3" fillId="0" borderId="87" xfId="0" applyFont="1" applyBorder="1"/>
    <xf numFmtId="0" fontId="7" fillId="5" borderId="41" xfId="0" applyFont="1" applyFill="1" applyBorder="1" applyAlignment="1">
      <alignment horizontal="center" vertical="center" wrapText="1"/>
    </xf>
    <xf numFmtId="0" fontId="7" fillId="5" borderId="88" xfId="0" applyFont="1" applyFill="1" applyBorder="1" applyAlignment="1">
      <alignment horizontal="center" vertical="center" wrapText="1"/>
    </xf>
    <xf numFmtId="0" fontId="14" fillId="5" borderId="44" xfId="0" applyFont="1" applyFill="1" applyBorder="1" applyAlignment="1">
      <alignment horizontal="center" vertical="center" textRotation="90" wrapText="1"/>
    </xf>
    <xf numFmtId="0" fontId="14" fillId="0" borderId="1" xfId="0" applyFont="1" applyBorder="1" applyAlignment="1">
      <alignment horizontal="center" vertical="center" textRotation="90" wrapText="1"/>
    </xf>
    <xf numFmtId="0" fontId="14" fillId="5" borderId="25" xfId="0" applyFont="1" applyFill="1" applyBorder="1" applyAlignment="1">
      <alignment horizontal="center" vertical="center" textRotation="90" wrapText="1"/>
    </xf>
    <xf numFmtId="0" fontId="14" fillId="0" borderId="1" xfId="0" applyFont="1" applyBorder="1" applyAlignment="1">
      <alignment horizontal="center" vertical="center" wrapText="1"/>
    </xf>
    <xf numFmtId="0" fontId="33" fillId="0" borderId="0" xfId="0" applyFont="1" applyAlignment="1">
      <alignment horizontal="left" vertical="center" wrapText="1"/>
    </xf>
    <xf numFmtId="0" fontId="1" fillId="0" borderId="25" xfId="0" applyFont="1" applyBorder="1" applyAlignment="1">
      <alignment vertical="center" wrapText="1"/>
    </xf>
    <xf numFmtId="0" fontId="8" fillId="11" borderId="25" xfId="0" applyFont="1" applyFill="1" applyBorder="1" applyAlignment="1">
      <alignment horizontal="center" vertical="center" wrapText="1"/>
    </xf>
    <xf numFmtId="0" fontId="8" fillId="0" borderId="25" xfId="0" applyFont="1" applyBorder="1" applyAlignment="1">
      <alignment horizontal="center" vertical="center"/>
    </xf>
    <xf numFmtId="0" fontId="14" fillId="5" borderId="85" xfId="0" applyFont="1" applyFill="1" applyBorder="1" applyAlignment="1">
      <alignment horizontal="center" vertical="center" wrapText="1"/>
    </xf>
    <xf numFmtId="0" fontId="7" fillId="5" borderId="44" xfId="0" applyFont="1" applyFill="1" applyBorder="1" applyAlignment="1">
      <alignment horizontal="center" vertical="center" wrapText="1"/>
    </xf>
    <xf numFmtId="0" fontId="14" fillId="5" borderId="25" xfId="0" applyFont="1" applyFill="1" applyBorder="1" applyAlignment="1">
      <alignment horizontal="center" vertical="center" wrapText="1"/>
    </xf>
    <xf numFmtId="0" fontId="14" fillId="0" borderId="25" xfId="0" applyFont="1" applyBorder="1" applyAlignment="1">
      <alignment horizontal="center" vertical="center" wrapText="1"/>
    </xf>
    <xf numFmtId="0" fontId="1" fillId="0" borderId="25" xfId="0" applyFont="1" applyBorder="1" applyAlignment="1">
      <alignment horizontal="center" vertical="center"/>
    </xf>
    <xf numFmtId="0" fontId="7" fillId="8" borderId="9"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0" fillId="8" borderId="59" xfId="0" applyFont="1" applyFill="1" applyBorder="1" applyAlignment="1">
      <alignment horizontal="center" vertical="center" wrapText="1"/>
    </xf>
    <xf numFmtId="0" fontId="7" fillId="5" borderId="95"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5" borderId="106" xfId="0" applyFont="1" applyFill="1" applyBorder="1" applyAlignment="1">
      <alignment horizontal="center" vertical="center" wrapText="1"/>
    </xf>
    <xf numFmtId="0" fontId="3" fillId="0" borderId="101" xfId="0" applyFont="1" applyBorder="1"/>
    <xf numFmtId="0" fontId="8" fillId="5" borderId="96" xfId="0" applyFont="1" applyFill="1" applyBorder="1" applyAlignment="1">
      <alignment horizontal="center" vertical="center" wrapText="1"/>
    </xf>
    <xf numFmtId="0" fontId="3" fillId="0" borderId="98" xfId="0" applyFont="1" applyBorder="1"/>
    <xf numFmtId="0" fontId="3" fillId="0" borderId="97" xfId="0" applyFont="1" applyBorder="1"/>
    <xf numFmtId="0" fontId="3" fillId="0" borderId="107" xfId="0" applyFont="1" applyBorder="1"/>
    <xf numFmtId="0" fontId="8" fillId="5" borderId="100" xfId="0" applyFont="1" applyFill="1" applyBorder="1" applyAlignment="1">
      <alignment horizontal="left" vertical="center" wrapText="1"/>
    </xf>
    <xf numFmtId="0" fontId="3" fillId="0" borderId="102" xfId="0" applyFont="1" applyBorder="1"/>
    <xf numFmtId="0" fontId="7" fillId="0" borderId="96" xfId="0" applyFont="1" applyBorder="1" applyAlignment="1">
      <alignment horizontal="center" vertical="center" textRotation="90" wrapText="1"/>
    </xf>
    <xf numFmtId="0" fontId="7" fillId="0" borderId="0" xfId="0" applyFont="1" applyAlignment="1">
      <alignment horizontal="center" vertical="center" textRotation="90" wrapText="1"/>
    </xf>
    <xf numFmtId="0" fontId="7" fillId="5" borderId="25" xfId="0" applyFont="1" applyFill="1" applyBorder="1" applyAlignment="1">
      <alignment horizontal="center" vertical="center" textRotation="90" wrapText="1"/>
    </xf>
    <xf numFmtId="0" fontId="7" fillId="5" borderId="44" xfId="0" applyFont="1" applyFill="1" applyBorder="1" applyAlignment="1">
      <alignment horizontal="center" vertical="center" textRotation="90" wrapText="1"/>
    </xf>
    <xf numFmtId="0" fontId="7" fillId="0" borderId="1" xfId="0" applyFont="1" applyBorder="1" applyAlignment="1">
      <alignment horizontal="center" vertical="center" textRotation="90" wrapText="1"/>
    </xf>
    <xf numFmtId="0" fontId="10" fillId="8" borderId="15" xfId="0" applyFont="1" applyFill="1" applyBorder="1" applyAlignment="1">
      <alignment horizontal="center" vertical="center" wrapText="1"/>
    </xf>
  </cellXfs>
  <cellStyles count="1">
    <cellStyle name="Normal" xfId="0" builtinId="0"/>
  </cellStyles>
  <dxfs count="4">
    <dxf>
      <fill>
        <patternFill patternType="solid">
          <fgColor rgb="FF92D050"/>
          <bgColor rgb="FF92D050"/>
        </patternFill>
      </fill>
    </dxf>
    <dxf>
      <font>
        <b/>
      </font>
      <fill>
        <patternFill patternType="solid">
          <fgColor rgb="FFB7E1CD"/>
          <bgColor rgb="FFB7E1CD"/>
        </patternFill>
      </fill>
    </dxf>
    <dxf>
      <font>
        <b/>
      </font>
      <fill>
        <patternFill patternType="solid">
          <fgColor rgb="FFB7E1CD"/>
          <bgColor rgb="FFB7E1CD"/>
        </patternFill>
      </fill>
    </dxf>
    <dxf>
      <font>
        <b/>
      </font>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04875" cy="7715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37</xdr:row>
      <xdr:rowOff>0</xdr:rowOff>
    </xdr:from>
    <xdr:ext cx="3705225" cy="1619250"/>
    <xdr:sp macro="" textlink="">
      <xdr:nvSpPr>
        <xdr:cNvPr id="3" name="Shape 3">
          <a:extLst>
            <a:ext uri="{FF2B5EF4-FFF2-40B4-BE49-F238E27FC236}">
              <a16:creationId xmlns:a16="http://schemas.microsoft.com/office/drawing/2014/main" id="{00000000-0008-0000-0500-000003000000}"/>
            </a:ext>
          </a:extLst>
        </xdr:cNvPr>
        <xdr:cNvSpPr txBox="1"/>
      </xdr:nvSpPr>
      <xdr:spPr>
        <a:xfrm>
          <a:off x="3498150" y="2975138"/>
          <a:ext cx="3695700" cy="1609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rPr>
            <a:t>                                  </a:t>
          </a:r>
          <a:r>
            <a:rPr lang="en-US" sz="1100">
              <a:solidFill>
                <a:schemeClr val="dk1"/>
              </a:solidFill>
              <a:latin typeface="Arial"/>
              <a:ea typeface="Arial"/>
              <a:cs typeface="Arial"/>
              <a:sym typeface="Arial"/>
            </a:rPr>
            <a:t>Panel</a:t>
          </a:r>
          <a:r>
            <a:rPr lang="en-US" sz="1100">
              <a:solidFill>
                <a:schemeClr val="dk1"/>
              </a:solidFill>
            </a:rPr>
            <a:t> APV</a:t>
          </a:r>
          <a:endParaRPr sz="1100">
            <a:latin typeface="Arial"/>
            <a:ea typeface="Arial"/>
            <a:cs typeface="Arial"/>
            <a:sym typeface="Arial"/>
          </a:endParaRPr>
        </a:p>
        <a:p>
          <a:pPr marL="0" lvl="0" indent="0" algn="ctr" rtl="0">
            <a:spcBef>
              <a:spcPts val="0"/>
            </a:spcBef>
            <a:spcAft>
              <a:spcPts val="0"/>
            </a:spcAft>
            <a:buSzPts val="1100"/>
            <a:buFont typeface="Arial"/>
            <a:buNone/>
          </a:pPr>
          <a:endParaRPr sz="1100">
            <a:latin typeface="Arial"/>
            <a:ea typeface="Arial"/>
            <a:cs typeface="Arial"/>
            <a:sym typeface="Arial"/>
          </a:endParaRPr>
        </a:p>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_____________</a:t>
          </a:r>
          <a:endParaRPr sz="1400"/>
        </a:p>
        <a:p>
          <a:pPr marL="0" lvl="0" indent="0" algn="ctr"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(tandatangan)</a:t>
          </a:r>
          <a:endParaRPr sz="1400"/>
        </a:p>
        <a:p>
          <a:pPr marL="0" lvl="0" indent="0" algn="ctr" rtl="0">
            <a:spcBef>
              <a:spcPts val="0"/>
            </a:spcBef>
            <a:spcAft>
              <a:spcPts val="0"/>
            </a:spcAft>
            <a:buSzPts val="1100"/>
            <a:buFont typeface="Arial"/>
            <a:buNone/>
          </a:pPr>
          <a:endParaRPr sz="1100">
            <a:latin typeface="Arial"/>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Nama:______________________________________</a:t>
          </a:r>
          <a:endParaRPr sz="1400"/>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Tarikh: _________________</a:t>
          </a:r>
          <a:endParaRPr sz="1100">
            <a:latin typeface="Arial"/>
            <a:ea typeface="Arial"/>
            <a:cs typeface="Arial"/>
            <a:sym typeface="Arial"/>
          </a:endParaRPr>
        </a:p>
        <a:p>
          <a:pPr marL="0" lvl="0" indent="0" algn="l" rtl="0">
            <a:spcBef>
              <a:spcPts val="0"/>
            </a:spcBef>
            <a:spcAft>
              <a:spcPts val="0"/>
            </a:spcAft>
            <a:buSzPts val="1100"/>
            <a:buFont typeface="Arial"/>
            <a:buNone/>
          </a:pPr>
          <a:endParaRPr sz="1100">
            <a:latin typeface="Arial"/>
            <a:ea typeface="Arial"/>
            <a:cs typeface="Arial"/>
            <a:sym typeface="Arial"/>
          </a:endParaRPr>
        </a:p>
      </xdr:txBody>
    </xdr:sp>
    <xdr:clientData fLocksWithSheet="0"/>
  </xdr:oneCellAnchor>
  <xdr:oneCellAnchor>
    <xdr:from>
      <xdr:col>7</xdr:col>
      <xdr:colOff>0</xdr:colOff>
      <xdr:row>38</xdr:row>
      <xdr:rowOff>0</xdr:rowOff>
    </xdr:from>
    <xdr:ext cx="3714750" cy="1600200"/>
    <xdr:sp macro="" textlink="">
      <xdr:nvSpPr>
        <xdr:cNvPr id="4" name="Shape 4">
          <a:extLst>
            <a:ext uri="{FF2B5EF4-FFF2-40B4-BE49-F238E27FC236}">
              <a16:creationId xmlns:a16="http://schemas.microsoft.com/office/drawing/2014/main" id="{00000000-0008-0000-0500-000004000000}"/>
            </a:ext>
          </a:extLst>
        </xdr:cNvPr>
        <xdr:cNvSpPr txBox="1"/>
      </xdr:nvSpPr>
      <xdr:spPr>
        <a:xfrm>
          <a:off x="3493388" y="2984663"/>
          <a:ext cx="3705225" cy="15906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P</a:t>
          </a:r>
          <a:r>
            <a:rPr lang="en-US" sz="1100">
              <a:solidFill>
                <a:schemeClr val="dk1"/>
              </a:solidFill>
            </a:rPr>
            <a:t>PPPK</a:t>
          </a:r>
          <a:endParaRPr sz="1100">
            <a:latin typeface="Arial"/>
            <a:ea typeface="Arial"/>
            <a:cs typeface="Arial"/>
            <a:sym typeface="Arial"/>
          </a:endParaRPr>
        </a:p>
        <a:p>
          <a:pPr marL="0" lvl="0" indent="0" algn="ctr" rtl="0">
            <a:lnSpc>
              <a:spcPct val="109000"/>
            </a:lnSpc>
            <a:spcBef>
              <a:spcPts val="0"/>
            </a:spcBef>
            <a:spcAft>
              <a:spcPts val="0"/>
            </a:spcAft>
            <a:buSzPts val="1100"/>
            <a:buFont typeface="Arial"/>
            <a:buNone/>
          </a:pPr>
          <a:endParaRPr sz="1100">
            <a:solidFill>
              <a:schemeClr val="dk1"/>
            </a:solidFill>
            <a:latin typeface="Arial"/>
            <a:ea typeface="Arial"/>
            <a:cs typeface="Arial"/>
            <a:sym typeface="Arial"/>
          </a:endParaRPr>
        </a:p>
        <a:p>
          <a:pPr marL="0" lvl="0" indent="0" algn="ctr"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_____________</a:t>
          </a:r>
          <a:endParaRPr sz="1400"/>
        </a:p>
        <a:p>
          <a:pPr marL="0" lvl="0" indent="0" algn="ctr"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(tandatangan)</a:t>
          </a:r>
          <a:endParaRPr sz="1400"/>
        </a:p>
        <a:p>
          <a:pPr marL="0" lvl="0" indent="0" algn="ctr" rtl="0">
            <a:spcBef>
              <a:spcPts val="0"/>
            </a:spcBef>
            <a:spcAft>
              <a:spcPts val="0"/>
            </a:spcAft>
            <a:buSzPts val="1100"/>
            <a:buFont typeface="Arial"/>
            <a:buNone/>
          </a:pPr>
          <a:endParaRPr sz="1100">
            <a:latin typeface="Arial"/>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Nama:___________________________________</a:t>
          </a:r>
          <a:endParaRPr sz="1400"/>
        </a:p>
        <a:p>
          <a:pPr marL="0" lvl="0" indent="0" algn="l"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Tarikh: _________________</a:t>
          </a:r>
          <a:endParaRPr sz="1100">
            <a:latin typeface="Arial"/>
            <a:ea typeface="Arial"/>
            <a:cs typeface="Arial"/>
            <a:sym typeface="Arial"/>
          </a:endParaRPr>
        </a:p>
        <a:p>
          <a:pPr marL="0" lvl="0" indent="0" algn="l" rtl="0">
            <a:spcBef>
              <a:spcPts val="0"/>
            </a:spcBef>
            <a:spcAft>
              <a:spcPts val="0"/>
            </a:spcAft>
            <a:buSzPts val="1100"/>
            <a:buFont typeface="Arial"/>
            <a:buNone/>
          </a:pPr>
          <a:endParaRPr sz="1100">
            <a:latin typeface="Arial"/>
            <a:ea typeface="Arial"/>
            <a:cs typeface="Arial"/>
            <a:sym typeface="Arial"/>
          </a:endParaRPr>
        </a:p>
      </xdr:txBody>
    </xdr:sp>
    <xdr:clientData fLocksWithSheet="0"/>
  </xdr:oneCellAnchor>
  <xdr:oneCellAnchor>
    <xdr:from>
      <xdr:col>3</xdr:col>
      <xdr:colOff>9525</xdr:colOff>
      <xdr:row>48</xdr:row>
      <xdr:rowOff>200025</xdr:rowOff>
    </xdr:from>
    <xdr:ext cx="3838575" cy="1781175"/>
    <xdr:sp macro="" textlink="">
      <xdr:nvSpPr>
        <xdr:cNvPr id="5" name="Shape 5">
          <a:extLst>
            <a:ext uri="{FF2B5EF4-FFF2-40B4-BE49-F238E27FC236}">
              <a16:creationId xmlns:a16="http://schemas.microsoft.com/office/drawing/2014/main" id="{00000000-0008-0000-0500-000005000000}"/>
            </a:ext>
          </a:extLst>
        </xdr:cNvPr>
        <xdr:cNvSpPr txBox="1"/>
      </xdr:nvSpPr>
      <xdr:spPr>
        <a:xfrm>
          <a:off x="3431475" y="2894175"/>
          <a:ext cx="3829050" cy="17716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9000"/>
            </a:lnSpc>
            <a:spcBef>
              <a:spcPts val="0"/>
            </a:spcBef>
            <a:spcAft>
              <a:spcPts val="0"/>
            </a:spcAft>
            <a:buSzPts val="1100"/>
            <a:buFont typeface="Arial"/>
            <a:buNone/>
          </a:pPr>
          <a:endParaRPr sz="1100">
            <a:latin typeface="Arial"/>
            <a:ea typeface="Arial"/>
            <a:cs typeface="Arial"/>
            <a:sym typeface="Arial"/>
          </a:endParaRPr>
        </a:p>
        <a:p>
          <a:pPr marL="0" lvl="0" indent="0" algn="ctr" rtl="0">
            <a:lnSpc>
              <a:spcPct val="109000"/>
            </a:lnSpc>
            <a:spcBef>
              <a:spcPts val="0"/>
            </a:spcBef>
            <a:spcAft>
              <a:spcPts val="0"/>
            </a:spcAft>
            <a:buSzPts val="1100"/>
            <a:buFont typeface="Arial"/>
            <a:buNone/>
          </a:pPr>
          <a:endParaRPr sz="1100">
            <a:latin typeface="Arial"/>
            <a:ea typeface="Arial"/>
            <a:cs typeface="Arial"/>
            <a:sym typeface="Arial"/>
          </a:endParaRPr>
        </a:p>
        <a:p>
          <a:pPr marL="0" lvl="0" indent="0" algn="ctr"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_____________</a:t>
          </a:r>
          <a:endParaRPr sz="1400"/>
        </a:p>
        <a:p>
          <a:pPr marL="0" lvl="0" indent="0" algn="ctr"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(tandatangan)</a:t>
          </a:r>
          <a:endParaRPr sz="1400"/>
        </a:p>
        <a:p>
          <a:pPr marL="0" lvl="0" indent="0" algn="ctr" rtl="0">
            <a:spcBef>
              <a:spcPts val="0"/>
            </a:spcBef>
            <a:spcAft>
              <a:spcPts val="0"/>
            </a:spcAft>
            <a:buSzPts val="1100"/>
            <a:buFont typeface="Arial"/>
            <a:buNone/>
          </a:pPr>
          <a:endParaRPr sz="1100">
            <a:latin typeface="Arial"/>
            <a:ea typeface="Arial"/>
            <a:cs typeface="Arial"/>
            <a:sym typeface="Arial"/>
          </a:endParaRPr>
        </a:p>
        <a:p>
          <a:pPr marL="0" lvl="0" indent="0" algn="l" rtl="0">
            <a:spcBef>
              <a:spcPts val="0"/>
            </a:spcBef>
            <a:spcAft>
              <a:spcPts val="0"/>
            </a:spcAft>
            <a:buSzPts val="1100"/>
            <a:buFont typeface="Arial"/>
            <a:buNone/>
          </a:pPr>
          <a:endParaRPr sz="1100">
            <a:solidFill>
              <a:schemeClr val="dk1"/>
            </a:solidFill>
            <a:latin typeface="Arial"/>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Nama: ______________________________________</a:t>
          </a:r>
          <a:endParaRPr sz="1400"/>
        </a:p>
        <a:p>
          <a:pPr marL="0" lvl="0" indent="0" algn="l"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Tarikh: _________________</a:t>
          </a:r>
          <a:endParaRPr sz="1100">
            <a:latin typeface="Arial"/>
            <a:ea typeface="Arial"/>
            <a:cs typeface="Arial"/>
            <a:sym typeface="Arial"/>
          </a:endParaRPr>
        </a:p>
        <a:p>
          <a:pPr marL="0" lvl="0" indent="0" algn="l" rtl="0">
            <a:spcBef>
              <a:spcPts val="0"/>
            </a:spcBef>
            <a:spcAft>
              <a:spcPts val="0"/>
            </a:spcAft>
            <a:buSzPts val="1100"/>
            <a:buFont typeface="Arial"/>
            <a:buNone/>
          </a:pPr>
          <a:endParaRPr sz="1100">
            <a:latin typeface="Arial"/>
            <a:ea typeface="Arial"/>
            <a:cs typeface="Arial"/>
            <a:sym typeface="Arial"/>
          </a:endParaRPr>
        </a:p>
      </xdr:txBody>
    </xdr:sp>
    <xdr:clientData fLocksWithSheet="0"/>
  </xdr:oneCellAnchor>
  <xdr:oneCellAnchor>
    <xdr:from>
      <xdr:col>3</xdr:col>
      <xdr:colOff>361950</xdr:colOff>
      <xdr:row>29</xdr:row>
      <xdr:rowOff>0</xdr:rowOff>
    </xdr:from>
    <xdr:ext cx="3609975" cy="1514475"/>
    <xdr:sp macro="" textlink="">
      <xdr:nvSpPr>
        <xdr:cNvPr id="6" name="Shape 6">
          <a:extLst>
            <a:ext uri="{FF2B5EF4-FFF2-40B4-BE49-F238E27FC236}">
              <a16:creationId xmlns:a16="http://schemas.microsoft.com/office/drawing/2014/main" id="{00000000-0008-0000-0500-000006000000}"/>
            </a:ext>
          </a:extLst>
        </xdr:cNvPr>
        <xdr:cNvSpPr txBox="1"/>
      </xdr:nvSpPr>
      <xdr:spPr>
        <a:xfrm>
          <a:off x="3545775" y="3027525"/>
          <a:ext cx="3600450" cy="15049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ctr"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Pegawai JPK 1</a:t>
          </a:r>
          <a:endParaRPr sz="1100">
            <a:latin typeface="Arial"/>
            <a:ea typeface="Arial"/>
            <a:cs typeface="Arial"/>
            <a:sym typeface="Arial"/>
          </a:endParaRPr>
        </a:p>
        <a:p>
          <a:pPr marL="0" lvl="0" indent="0" algn="ctr" rtl="0">
            <a:lnSpc>
              <a:spcPct val="109000"/>
            </a:lnSpc>
            <a:spcBef>
              <a:spcPts val="0"/>
            </a:spcBef>
            <a:spcAft>
              <a:spcPts val="0"/>
            </a:spcAft>
            <a:buSzPts val="1100"/>
            <a:buFont typeface="Arial"/>
            <a:buNone/>
          </a:pPr>
          <a:endParaRPr sz="1100">
            <a:latin typeface="Arial"/>
            <a:ea typeface="Arial"/>
            <a:cs typeface="Arial"/>
            <a:sym typeface="Arial"/>
          </a:endParaRPr>
        </a:p>
        <a:p>
          <a:pPr marL="0" lvl="0" indent="0" algn="ctr"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_____________</a:t>
          </a:r>
          <a:endParaRPr sz="1400"/>
        </a:p>
        <a:p>
          <a:pPr marL="0" lvl="0" indent="0" algn="ctr"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(tandatangan)</a:t>
          </a:r>
          <a:endParaRPr sz="1400"/>
        </a:p>
        <a:p>
          <a:pPr marL="0" lvl="0" indent="0" algn="ctr" rtl="0">
            <a:spcBef>
              <a:spcPts val="0"/>
            </a:spcBef>
            <a:spcAft>
              <a:spcPts val="0"/>
            </a:spcAft>
            <a:buSzPts val="1100"/>
            <a:buFont typeface="Arial"/>
            <a:buNone/>
          </a:pPr>
          <a:endParaRPr sz="1100">
            <a:latin typeface="Arial"/>
            <a:ea typeface="Arial"/>
            <a:cs typeface="Arial"/>
            <a:sym typeface="Arial"/>
          </a:endParaRPr>
        </a:p>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Nama:___________________________________</a:t>
          </a:r>
          <a:endParaRPr sz="1400"/>
        </a:p>
        <a:p>
          <a:pPr marL="0" lvl="0" indent="0" algn="l" rtl="0">
            <a:lnSpc>
              <a:spcPct val="109000"/>
            </a:lnSpc>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Tarikh: _________________</a:t>
          </a:r>
          <a:endParaRPr sz="1100">
            <a:latin typeface="Arial"/>
            <a:ea typeface="Arial"/>
            <a:cs typeface="Arial"/>
            <a:sym typeface="Arial"/>
          </a:endParaRPr>
        </a:p>
        <a:p>
          <a:pPr marL="0" lvl="0" indent="0" algn="l" rtl="0">
            <a:spcBef>
              <a:spcPts val="0"/>
            </a:spcBef>
            <a:spcAft>
              <a:spcPts val="0"/>
            </a:spcAft>
            <a:buSzPts val="1100"/>
            <a:buFont typeface="Arial"/>
            <a:buNone/>
          </a:pPr>
          <a:endParaRPr sz="1100">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49"/>
  <sheetViews>
    <sheetView topLeftCell="A13" zoomScale="70" zoomScaleNormal="70" workbookViewId="0">
      <selection activeCell="V22" sqref="V22"/>
    </sheetView>
  </sheetViews>
  <sheetFormatPr defaultColWidth="14.44140625" defaultRowHeight="15" customHeight="1"/>
  <cols>
    <col min="1" max="1" width="5.44140625" customWidth="1"/>
    <col min="2" max="2" width="3.5546875" customWidth="1"/>
    <col min="3" max="3" width="0.5546875" customWidth="1"/>
    <col min="4" max="4" width="2.88671875" customWidth="1"/>
    <col min="5" max="5" width="7.109375" customWidth="1"/>
    <col min="6" max="6" width="4.44140625" customWidth="1"/>
    <col min="7" max="7" width="3" customWidth="1"/>
    <col min="8" max="12" width="2.44140625" customWidth="1"/>
    <col min="13" max="14" width="4.44140625" customWidth="1"/>
    <col min="15" max="15" width="6.5546875" customWidth="1"/>
    <col min="16" max="16" width="4.44140625" customWidth="1"/>
    <col min="17" max="18" width="3" customWidth="1"/>
    <col min="19" max="19" width="3.5546875" customWidth="1"/>
    <col min="20" max="20" width="0.5546875" customWidth="1"/>
    <col min="21" max="21" width="3" customWidth="1"/>
    <col min="22" max="22" width="4.44140625" customWidth="1"/>
    <col min="23" max="23" width="6.44140625" hidden="1" customWidth="1"/>
    <col min="24" max="24" width="7.109375" customWidth="1"/>
    <col min="25" max="25" width="3" customWidth="1"/>
    <col min="26" max="26" width="4.44140625" customWidth="1"/>
    <col min="27" max="28" width="7.109375" customWidth="1"/>
    <col min="29" max="29" width="25.109375" customWidth="1"/>
    <col min="30" max="35" width="9.109375" customWidth="1"/>
  </cols>
  <sheetData>
    <row r="1" spans="1:29" ht="18.75" customHeight="1">
      <c r="A1" s="1"/>
      <c r="B1" s="2"/>
      <c r="C1" s="2"/>
      <c r="D1" s="2"/>
      <c r="E1" s="2"/>
      <c r="F1" s="254" t="s">
        <v>0</v>
      </c>
      <c r="G1" s="255"/>
      <c r="H1" s="255"/>
      <c r="I1" s="255"/>
      <c r="J1" s="255"/>
      <c r="K1" s="255"/>
      <c r="L1" s="255"/>
      <c r="M1" s="255"/>
      <c r="N1" s="255"/>
      <c r="O1" s="255"/>
      <c r="P1" s="255"/>
      <c r="Q1" s="255"/>
      <c r="R1" s="255"/>
      <c r="S1" s="255"/>
      <c r="T1" s="255"/>
      <c r="U1" s="255"/>
      <c r="V1" s="255"/>
      <c r="W1" s="255"/>
      <c r="X1" s="255"/>
      <c r="Y1" s="256" t="s">
        <v>1</v>
      </c>
      <c r="Z1" s="255"/>
      <c r="AA1" s="255"/>
      <c r="AB1" s="255"/>
      <c r="AC1" s="257"/>
    </row>
    <row r="2" spans="1:29" ht="1.5" customHeight="1">
      <c r="A2" s="3"/>
      <c r="B2" s="4"/>
      <c r="C2" s="4"/>
      <c r="D2" s="4"/>
      <c r="E2" s="4"/>
      <c r="F2" s="234"/>
      <c r="G2" s="234"/>
      <c r="H2" s="234"/>
      <c r="I2" s="234"/>
      <c r="J2" s="234"/>
      <c r="K2" s="234"/>
      <c r="L2" s="234"/>
      <c r="M2" s="234"/>
      <c r="N2" s="234"/>
      <c r="O2" s="234"/>
      <c r="P2" s="234"/>
      <c r="Q2" s="234"/>
      <c r="R2" s="234"/>
      <c r="S2" s="234"/>
      <c r="T2" s="234"/>
      <c r="U2" s="234"/>
      <c r="V2" s="234"/>
      <c r="W2" s="234"/>
      <c r="X2" s="234"/>
      <c r="Y2" s="234"/>
      <c r="Z2" s="234"/>
      <c r="AA2" s="234"/>
      <c r="AB2" s="234"/>
      <c r="AC2" s="258"/>
    </row>
    <row r="3" spans="1:29" ht="26.25" customHeight="1">
      <c r="A3" s="3"/>
      <c r="B3" s="5"/>
      <c r="C3" s="5"/>
      <c r="D3" s="5"/>
      <c r="E3" s="5"/>
      <c r="F3" s="234"/>
      <c r="G3" s="234"/>
      <c r="H3" s="234"/>
      <c r="I3" s="234"/>
      <c r="J3" s="234"/>
      <c r="K3" s="234"/>
      <c r="L3" s="234"/>
      <c r="M3" s="234"/>
      <c r="N3" s="234"/>
      <c r="O3" s="234"/>
      <c r="P3" s="234"/>
      <c r="Q3" s="234"/>
      <c r="R3" s="234"/>
      <c r="S3" s="234"/>
      <c r="T3" s="234"/>
      <c r="U3" s="234"/>
      <c r="V3" s="234"/>
      <c r="W3" s="234"/>
      <c r="X3" s="234"/>
      <c r="Y3" s="234"/>
      <c r="Z3" s="234"/>
      <c r="AA3" s="234"/>
      <c r="AB3" s="234"/>
      <c r="AC3" s="258"/>
    </row>
    <row r="4" spans="1:29" ht="12" customHeight="1">
      <c r="A4" s="6"/>
      <c r="B4" s="7"/>
      <c r="C4" s="7"/>
      <c r="D4" s="7"/>
      <c r="E4" s="7"/>
      <c r="F4" s="7"/>
      <c r="G4" s="7"/>
      <c r="H4" s="7"/>
      <c r="I4" s="7"/>
      <c r="J4" s="7"/>
      <c r="K4" s="7"/>
      <c r="L4" s="7"/>
      <c r="M4" s="7"/>
      <c r="N4" s="7"/>
      <c r="O4" s="7"/>
      <c r="P4" s="7"/>
      <c r="Q4" s="7"/>
      <c r="R4" s="7"/>
      <c r="S4" s="7"/>
      <c r="T4" s="7"/>
      <c r="U4" s="7"/>
      <c r="V4" s="7"/>
      <c r="W4" s="7"/>
      <c r="X4" s="7"/>
      <c r="Y4" s="7"/>
      <c r="Z4" s="7"/>
      <c r="AA4" s="8"/>
      <c r="AB4" s="8"/>
      <c r="AC4" s="9"/>
    </row>
    <row r="5" spans="1:29" ht="43.5" customHeight="1">
      <c r="A5" s="259" t="s">
        <v>2</v>
      </c>
      <c r="B5" s="239"/>
      <c r="C5" s="239"/>
      <c r="D5" s="239"/>
      <c r="E5" s="239"/>
      <c r="F5" s="239"/>
      <c r="G5" s="239"/>
      <c r="H5" s="239"/>
      <c r="I5" s="239"/>
      <c r="J5" s="239"/>
      <c r="K5" s="239"/>
      <c r="L5" s="239"/>
      <c r="M5" s="239"/>
      <c r="N5" s="239"/>
      <c r="O5" s="239"/>
      <c r="P5" s="239"/>
      <c r="Q5" s="239"/>
      <c r="R5" s="239"/>
      <c r="S5" s="239"/>
      <c r="T5" s="239"/>
      <c r="U5" s="239"/>
      <c r="V5" s="239"/>
      <c r="W5" s="239"/>
      <c r="X5" s="239"/>
      <c r="Y5" s="239"/>
      <c r="Z5" s="239"/>
      <c r="AA5" s="239"/>
      <c r="AB5" s="239"/>
      <c r="AC5" s="239"/>
    </row>
    <row r="6" spans="1:29" ht="2.25" customHeight="1">
      <c r="A6" s="10"/>
      <c r="B6" s="4"/>
      <c r="C6" s="4"/>
      <c r="D6" s="4"/>
      <c r="E6" s="4"/>
      <c r="F6" s="4"/>
      <c r="G6" s="4"/>
      <c r="H6" s="4"/>
      <c r="I6" s="4"/>
      <c r="J6" s="4"/>
      <c r="K6" s="4"/>
      <c r="L6" s="4"/>
      <c r="M6" s="4"/>
      <c r="N6" s="4"/>
      <c r="O6" s="4"/>
      <c r="P6" s="4"/>
      <c r="Q6" s="4"/>
      <c r="R6" s="4"/>
      <c r="S6" s="4"/>
      <c r="T6" s="4"/>
      <c r="U6" s="4"/>
      <c r="V6" s="4"/>
      <c r="W6" s="4"/>
      <c r="X6" s="4"/>
      <c r="Y6" s="4"/>
      <c r="Z6" s="4"/>
    </row>
    <row r="7" spans="1:29" ht="21.75" customHeight="1">
      <c r="A7" s="260" t="s">
        <v>3</v>
      </c>
      <c r="B7" s="234"/>
      <c r="C7" s="234"/>
      <c r="D7" s="234"/>
      <c r="E7" s="234"/>
      <c r="F7" s="234"/>
      <c r="G7" s="11"/>
      <c r="H7" s="12"/>
      <c r="I7" s="11"/>
      <c r="J7" s="11"/>
      <c r="K7" s="11"/>
      <c r="L7" s="11"/>
      <c r="M7" s="11"/>
      <c r="N7" s="11"/>
      <c r="O7" s="11"/>
      <c r="P7" s="11"/>
      <c r="Q7" s="11"/>
      <c r="R7" s="11"/>
      <c r="S7" s="11"/>
      <c r="T7" s="11"/>
      <c r="U7" s="11"/>
      <c r="V7" s="11"/>
      <c r="W7" s="11"/>
      <c r="X7" s="11"/>
      <c r="Y7" s="11"/>
      <c r="Z7" s="11"/>
      <c r="AA7" s="13"/>
      <c r="AB7" s="13"/>
      <c r="AC7" s="14"/>
    </row>
    <row r="8" spans="1:29" ht="21.75" customHeight="1">
      <c r="A8" s="250" t="s">
        <v>4</v>
      </c>
      <c r="B8" s="234"/>
      <c r="C8" s="234"/>
      <c r="D8" s="234"/>
      <c r="E8" s="234"/>
      <c r="F8" s="234"/>
      <c r="G8" s="234"/>
      <c r="H8" s="261"/>
      <c r="I8" s="262"/>
      <c r="J8" s="262"/>
      <c r="K8" s="262"/>
      <c r="L8" s="262"/>
      <c r="M8" s="16"/>
      <c r="N8" s="16"/>
      <c r="O8" s="233" t="s">
        <v>5</v>
      </c>
      <c r="P8" s="234"/>
      <c r="Q8" s="234"/>
      <c r="R8" s="234"/>
      <c r="S8" s="234"/>
      <c r="T8" s="234"/>
      <c r="U8" s="234"/>
      <c r="V8" s="234"/>
      <c r="W8" s="234"/>
      <c r="X8" s="234"/>
      <c r="Y8" s="263"/>
      <c r="Z8" s="239"/>
      <c r="AA8" s="239"/>
      <c r="AB8" s="239"/>
      <c r="AC8" s="18"/>
    </row>
    <row r="9" spans="1:29" ht="21.75" customHeight="1">
      <c r="A9" s="250" t="s">
        <v>6</v>
      </c>
      <c r="B9" s="234"/>
      <c r="C9" s="234"/>
      <c r="D9" s="234"/>
      <c r="E9" s="234"/>
      <c r="F9" s="234"/>
      <c r="G9" s="19"/>
      <c r="H9" s="263"/>
      <c r="I9" s="239"/>
      <c r="J9" s="239"/>
      <c r="K9" s="239"/>
      <c r="L9" s="239"/>
      <c r="M9" s="239"/>
      <c r="N9" s="20"/>
      <c r="O9" s="233" t="s">
        <v>7</v>
      </c>
      <c r="P9" s="234"/>
      <c r="Q9" s="234"/>
      <c r="R9" s="234"/>
      <c r="S9" s="234"/>
      <c r="T9" s="234"/>
      <c r="U9" s="234"/>
      <c r="V9" s="234"/>
      <c r="W9" s="4"/>
      <c r="X9" s="21"/>
      <c r="Y9" s="264" t="s">
        <v>8</v>
      </c>
      <c r="Z9" s="239"/>
      <c r="AA9" s="239"/>
      <c r="AB9" s="239"/>
      <c r="AC9" s="18"/>
    </row>
    <row r="10" spans="1:29" ht="6" customHeight="1">
      <c r="A10" s="15"/>
      <c r="B10" s="17"/>
      <c r="C10" s="17"/>
      <c r="D10" s="17"/>
      <c r="E10" s="17"/>
      <c r="F10" s="17"/>
      <c r="G10" s="19"/>
      <c r="H10" s="19"/>
      <c r="I10" s="19"/>
      <c r="J10" s="19"/>
      <c r="K10" s="19"/>
      <c r="L10" s="19"/>
      <c r="M10" s="19"/>
      <c r="N10" s="19"/>
      <c r="O10" s="17"/>
      <c r="P10" s="17"/>
      <c r="Q10" s="17"/>
      <c r="R10" s="17"/>
      <c r="S10" s="17"/>
      <c r="T10" s="17"/>
      <c r="U10" s="17"/>
      <c r="V10" s="17"/>
      <c r="W10" s="4"/>
      <c r="X10" s="21"/>
      <c r="Y10" s="19"/>
      <c r="Z10" s="4"/>
      <c r="AA10" s="22"/>
      <c r="AB10" s="4"/>
      <c r="AC10" s="18"/>
    </row>
    <row r="11" spans="1:29" ht="15.75" customHeight="1">
      <c r="A11" s="250" t="s">
        <v>9</v>
      </c>
      <c r="B11" s="234"/>
      <c r="C11" s="234"/>
      <c r="D11" s="234"/>
      <c r="E11" s="234"/>
      <c r="F11" s="234"/>
      <c r="G11" s="23"/>
      <c r="H11" s="249" t="s">
        <v>10</v>
      </c>
      <c r="I11" s="234"/>
      <c r="J11" s="234"/>
      <c r="K11" s="234"/>
      <c r="L11" s="234"/>
      <c r="M11" s="234"/>
      <c r="N11" s="234"/>
      <c r="O11" s="234"/>
      <c r="P11" s="24"/>
      <c r="Q11" s="24"/>
      <c r="R11" s="23"/>
      <c r="S11" s="247" t="s">
        <v>11</v>
      </c>
      <c r="T11" s="234"/>
      <c r="U11" s="234"/>
      <c r="V11" s="234"/>
      <c r="W11" s="234"/>
      <c r="X11" s="234"/>
      <c r="Y11" s="234"/>
      <c r="Z11" s="234"/>
      <c r="AA11" s="234"/>
      <c r="AB11" s="234"/>
      <c r="AC11" s="18"/>
    </row>
    <row r="12" spans="1:29" ht="4.5" customHeight="1">
      <c r="A12" s="265"/>
      <c r="B12" s="234"/>
      <c r="C12" s="234"/>
      <c r="D12" s="234"/>
      <c r="E12" s="234"/>
      <c r="F12" s="234"/>
      <c r="G12" s="26"/>
      <c r="H12" s="24"/>
      <c r="I12" s="24"/>
      <c r="J12" s="24"/>
      <c r="K12" s="24"/>
      <c r="L12" s="24"/>
      <c r="M12" s="24"/>
      <c r="N12" s="24"/>
      <c r="O12" s="24"/>
      <c r="P12" s="24"/>
      <c r="Q12" s="24"/>
      <c r="R12" s="26"/>
      <c r="S12" s="17"/>
      <c r="T12" s="17"/>
      <c r="U12" s="17"/>
      <c r="V12" s="17"/>
      <c r="W12" s="4"/>
      <c r="X12" s="21"/>
      <c r="Y12" s="19"/>
      <c r="Z12" s="4"/>
      <c r="AA12" s="22"/>
      <c r="AB12" s="4"/>
      <c r="AC12" s="18"/>
    </row>
    <row r="13" spans="1:29" ht="15" customHeight="1">
      <c r="A13" s="265"/>
      <c r="B13" s="234"/>
      <c r="C13" s="234"/>
      <c r="D13" s="234"/>
      <c r="E13" s="234"/>
      <c r="F13" s="234"/>
      <c r="G13" s="23"/>
      <c r="H13" s="249" t="s">
        <v>12</v>
      </c>
      <c r="I13" s="234"/>
      <c r="J13" s="234"/>
      <c r="K13" s="234"/>
      <c r="L13" s="234"/>
      <c r="M13" s="234"/>
      <c r="N13" s="234"/>
      <c r="O13" s="234"/>
      <c r="P13" s="234"/>
      <c r="Q13" s="234"/>
      <c r="R13" s="23"/>
      <c r="S13" s="247" t="s">
        <v>13</v>
      </c>
      <c r="T13" s="234"/>
      <c r="U13" s="234"/>
      <c r="V13" s="234"/>
      <c r="W13" s="234"/>
      <c r="X13" s="234"/>
      <c r="Y13" s="234"/>
      <c r="Z13" s="234"/>
      <c r="AA13" s="234"/>
      <c r="AB13" s="234"/>
      <c r="AC13" s="18"/>
    </row>
    <row r="14" spans="1:29" ht="5.25" customHeight="1">
      <c r="A14" s="15"/>
      <c r="B14" s="17"/>
      <c r="C14" s="17"/>
      <c r="D14" s="17"/>
      <c r="E14" s="17"/>
      <c r="F14" s="17"/>
      <c r="G14" s="19"/>
      <c r="H14" s="24"/>
      <c r="I14" s="24"/>
      <c r="J14" s="24"/>
      <c r="K14" s="24"/>
      <c r="L14" s="24"/>
      <c r="M14" s="24"/>
      <c r="N14" s="24"/>
      <c r="O14" s="24"/>
      <c r="P14" s="24"/>
      <c r="Q14" s="24"/>
      <c r="R14" s="19"/>
      <c r="S14" s="17"/>
      <c r="T14" s="17"/>
      <c r="U14" s="17"/>
      <c r="V14" s="17"/>
      <c r="W14" s="17"/>
      <c r="X14" s="17"/>
      <c r="Y14" s="17"/>
      <c r="Z14" s="17"/>
      <c r="AA14" s="17"/>
      <c r="AB14" s="17"/>
      <c r="AC14" s="18"/>
    </row>
    <row r="15" spans="1:29" ht="15" customHeight="1">
      <c r="A15" s="250" t="s">
        <v>14</v>
      </c>
      <c r="B15" s="234"/>
      <c r="C15" s="234"/>
      <c r="D15" s="234"/>
      <c r="E15" s="234"/>
      <c r="F15" s="234"/>
      <c r="G15" s="234"/>
      <c r="H15" s="234"/>
      <c r="I15" s="234"/>
      <c r="J15" s="23" t="s">
        <v>15</v>
      </c>
      <c r="K15" s="249" t="s">
        <v>16</v>
      </c>
      <c r="L15" s="234"/>
      <c r="M15" s="234"/>
      <c r="N15" s="234"/>
      <c r="O15" s="234"/>
      <c r="P15" s="234"/>
      <c r="Q15" s="234"/>
      <c r="R15" s="234"/>
      <c r="S15" s="17"/>
      <c r="T15" s="17"/>
      <c r="U15" s="17"/>
      <c r="V15" s="17"/>
      <c r="W15" s="17"/>
      <c r="X15" s="17"/>
      <c r="Y15" s="17"/>
      <c r="Z15" s="17"/>
      <c r="AA15" s="17"/>
      <c r="AB15" s="17"/>
      <c r="AC15" s="27"/>
    </row>
    <row r="16" spans="1:29" ht="14.4">
      <c r="AC16" s="28"/>
    </row>
    <row r="17" spans="1:29" ht="13.5" customHeight="1">
      <c r="A17" s="15"/>
      <c r="B17" s="17"/>
      <c r="C17" s="17"/>
      <c r="D17" s="17"/>
      <c r="E17" s="17"/>
      <c r="F17" s="17"/>
      <c r="G17" s="19"/>
      <c r="H17" s="24"/>
      <c r="I17" s="24"/>
      <c r="J17" s="23"/>
      <c r="K17" s="249" t="s">
        <v>17</v>
      </c>
      <c r="L17" s="234"/>
      <c r="M17" s="234"/>
      <c r="N17" s="234"/>
      <c r="O17" s="234"/>
      <c r="P17" s="234"/>
      <c r="Q17" s="234"/>
      <c r="R17" s="234"/>
      <c r="S17" s="234"/>
      <c r="T17" s="234"/>
      <c r="U17" s="234"/>
      <c r="V17" s="234"/>
      <c r="W17" s="234"/>
      <c r="X17" s="234"/>
      <c r="Y17" s="234"/>
      <c r="Z17" s="234"/>
      <c r="AA17" s="234"/>
      <c r="AB17" s="234"/>
      <c r="AC17" s="248"/>
    </row>
    <row r="18" spans="1:29" ht="5.25" customHeight="1">
      <c r="A18" s="15"/>
      <c r="B18" s="17"/>
      <c r="C18" s="17"/>
      <c r="D18" s="17"/>
      <c r="E18" s="17"/>
      <c r="F18" s="17"/>
      <c r="G18" s="19"/>
      <c r="H18" s="24"/>
      <c r="I18" s="24"/>
      <c r="J18" s="24"/>
      <c r="K18" s="24"/>
      <c r="L18" s="24"/>
      <c r="M18" s="24"/>
      <c r="N18" s="24"/>
      <c r="O18" s="24"/>
      <c r="P18" s="24"/>
      <c r="Q18" s="24"/>
      <c r="R18" s="19"/>
      <c r="S18" s="17"/>
      <c r="T18" s="17"/>
      <c r="U18" s="17"/>
      <c r="V18" s="17"/>
      <c r="W18" s="17"/>
      <c r="X18" s="17"/>
      <c r="Y18" s="17"/>
      <c r="Z18" s="17"/>
      <c r="AA18" s="17"/>
      <c r="AB18" s="17"/>
      <c r="AC18" s="18"/>
    </row>
    <row r="19" spans="1:29" ht="19.5" customHeight="1">
      <c r="A19" s="245" t="s">
        <v>18</v>
      </c>
      <c r="B19" s="239"/>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40"/>
    </row>
    <row r="20" spans="1:29" ht="19.5" customHeight="1">
      <c r="A20" s="246" t="s">
        <v>19</v>
      </c>
      <c r="B20" s="239"/>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C20" s="240"/>
    </row>
    <row r="21" spans="1:29" ht="3" customHeight="1">
      <c r="A21" s="15"/>
      <c r="B21" s="26"/>
      <c r="C21" s="26"/>
      <c r="D21" s="26"/>
      <c r="E21" s="17"/>
      <c r="F21" s="17"/>
      <c r="G21" s="17"/>
      <c r="H21" s="17"/>
      <c r="I21" s="17"/>
      <c r="J21" s="17"/>
      <c r="K21" s="17"/>
      <c r="L21" s="17"/>
      <c r="M21" s="17"/>
      <c r="N21" s="17"/>
      <c r="O21" s="17"/>
      <c r="P21" s="17"/>
      <c r="Q21" s="17"/>
      <c r="R21" s="4"/>
      <c r="S21" s="17"/>
      <c r="T21" s="17"/>
      <c r="U21" s="17"/>
      <c r="V21" s="4"/>
      <c r="W21" s="4"/>
      <c r="X21" s="4"/>
      <c r="Y21" s="4"/>
      <c r="Z21" s="4"/>
      <c r="AA21" s="4"/>
      <c r="AB21" s="4"/>
      <c r="AC21" s="14"/>
    </row>
    <row r="22" spans="1:29" ht="15.75" customHeight="1">
      <c r="A22" s="15"/>
      <c r="B22" s="23" t="s">
        <v>15</v>
      </c>
      <c r="C22" s="26"/>
      <c r="D22" s="233" t="s">
        <v>20</v>
      </c>
      <c r="E22" s="234"/>
      <c r="F22" s="234"/>
      <c r="G22" s="234"/>
      <c r="H22" s="234"/>
      <c r="I22" s="234"/>
      <c r="J22" s="234"/>
      <c r="K22" s="234"/>
      <c r="L22" s="234"/>
      <c r="M22" s="19"/>
      <c r="N22" s="19"/>
      <c r="O22" s="17"/>
      <c r="P22" s="17"/>
      <c r="Q22" s="17"/>
      <c r="R22" s="19"/>
      <c r="S22" s="19"/>
      <c r="T22" s="19"/>
      <c r="U22" s="19"/>
      <c r="V22" s="23"/>
      <c r="W22" s="19"/>
      <c r="X22" s="247" t="s">
        <v>21</v>
      </c>
      <c r="Y22" s="234"/>
      <c r="Z22" s="234"/>
      <c r="AA22" s="234"/>
      <c r="AB22" s="234"/>
      <c r="AC22" s="248"/>
    </row>
    <row r="23" spans="1:29" ht="4.5" customHeight="1">
      <c r="A23" s="15"/>
      <c r="B23" s="26"/>
      <c r="C23" s="26"/>
      <c r="D23" s="17"/>
      <c r="E23" s="17"/>
      <c r="F23" s="17"/>
      <c r="G23" s="17"/>
      <c r="H23" s="17"/>
      <c r="I23" s="17"/>
      <c r="J23" s="17"/>
      <c r="K23" s="17"/>
      <c r="L23" s="17"/>
      <c r="M23" s="19"/>
      <c r="N23" s="19"/>
      <c r="O23" s="17"/>
      <c r="P23" s="17"/>
      <c r="Q23" s="17"/>
      <c r="R23" s="19"/>
      <c r="S23" s="19"/>
      <c r="T23" s="19"/>
      <c r="U23" s="19"/>
      <c r="V23" s="17"/>
      <c r="W23" s="19"/>
      <c r="X23" s="17"/>
      <c r="Y23" s="17"/>
      <c r="Z23" s="17"/>
      <c r="AA23" s="17"/>
      <c r="AB23" s="17"/>
      <c r="AC23" s="30"/>
    </row>
    <row r="24" spans="1:29" ht="30.75" customHeight="1">
      <c r="A24" s="31"/>
      <c r="B24" s="23"/>
      <c r="C24" s="26"/>
      <c r="D24" s="233" t="s">
        <v>22</v>
      </c>
      <c r="E24" s="234"/>
      <c r="F24" s="234"/>
      <c r="G24" s="234"/>
      <c r="H24" s="234"/>
      <c r="I24" s="234"/>
      <c r="J24" s="234"/>
      <c r="K24" s="234"/>
      <c r="L24" s="234"/>
      <c r="M24" s="234"/>
      <c r="N24" s="234"/>
      <c r="O24" s="234"/>
      <c r="P24" s="234"/>
      <c r="Q24" s="19"/>
      <c r="R24" s="19"/>
      <c r="S24" s="17"/>
      <c r="T24" s="19"/>
      <c r="U24" s="19"/>
      <c r="V24" s="19"/>
      <c r="W24" s="19"/>
      <c r="X24" s="233"/>
      <c r="Y24" s="234"/>
      <c r="Z24" s="234"/>
      <c r="AA24" s="234"/>
      <c r="AB24" s="234"/>
      <c r="AC24" s="248"/>
    </row>
    <row r="25" spans="1:29" ht="11.25" customHeight="1">
      <c r="A25" s="15"/>
      <c r="B25" s="26"/>
      <c r="C25" s="26"/>
      <c r="D25" s="26"/>
      <c r="E25" s="233"/>
      <c r="F25" s="234"/>
      <c r="G25" s="234"/>
      <c r="H25" s="234"/>
      <c r="I25" s="234"/>
      <c r="J25" s="234"/>
      <c r="K25" s="234"/>
      <c r="L25" s="17"/>
      <c r="M25" s="17"/>
      <c r="N25" s="17"/>
      <c r="O25" s="17"/>
      <c r="P25" s="17"/>
      <c r="Q25" s="17"/>
      <c r="R25" s="17"/>
      <c r="S25" s="17"/>
      <c r="T25" s="233"/>
      <c r="U25" s="234"/>
      <c r="V25" s="234"/>
      <c r="W25" s="234"/>
      <c r="X25" s="234"/>
      <c r="Y25" s="234"/>
      <c r="Z25" s="234"/>
      <c r="AA25" s="17"/>
      <c r="AB25" s="17"/>
      <c r="AC25" s="30"/>
    </row>
    <row r="26" spans="1:29" ht="30" customHeight="1">
      <c r="A26" s="235" t="s">
        <v>23</v>
      </c>
      <c r="B26" s="236"/>
      <c r="C26" s="236"/>
      <c r="D26" s="236"/>
      <c r="E26" s="236"/>
      <c r="F26" s="236"/>
      <c r="G26" s="236"/>
      <c r="H26" s="236"/>
      <c r="I26" s="236"/>
      <c r="J26" s="236"/>
      <c r="K26" s="236"/>
      <c r="L26" s="236"/>
      <c r="M26" s="236"/>
      <c r="N26" s="236"/>
      <c r="O26" s="236"/>
      <c r="P26" s="236"/>
      <c r="Q26" s="236"/>
      <c r="R26" s="236"/>
      <c r="S26" s="236"/>
      <c r="T26" s="236"/>
      <c r="U26" s="236"/>
      <c r="V26" s="236"/>
      <c r="W26" s="236"/>
      <c r="X26" s="236"/>
      <c r="Y26" s="236"/>
      <c r="Z26" s="236"/>
      <c r="AA26" s="236"/>
      <c r="AB26" s="236"/>
      <c r="AC26" s="237"/>
    </row>
    <row r="27" spans="1:29" ht="19.5" customHeight="1">
      <c r="A27" s="32"/>
      <c r="B27" s="33"/>
      <c r="C27" s="33"/>
      <c r="D27" s="33"/>
      <c r="E27" s="33"/>
      <c r="F27" s="34"/>
      <c r="G27" s="35" t="s">
        <v>15</v>
      </c>
      <c r="H27" s="33" t="s">
        <v>24</v>
      </c>
      <c r="I27" s="33"/>
      <c r="J27" s="33"/>
      <c r="K27" s="33"/>
      <c r="L27" s="33"/>
      <c r="M27" s="33"/>
      <c r="N27" s="33"/>
      <c r="O27" s="33"/>
      <c r="P27" s="33"/>
      <c r="Q27" s="36"/>
      <c r="R27" s="33" t="s">
        <v>25</v>
      </c>
      <c r="S27" s="33"/>
      <c r="T27" s="33"/>
      <c r="U27" s="33"/>
      <c r="V27" s="33"/>
      <c r="W27" s="33"/>
      <c r="X27" s="33"/>
      <c r="Y27" s="33"/>
      <c r="Z27" s="33"/>
      <c r="AA27" s="33"/>
      <c r="AB27" s="33"/>
      <c r="AC27" s="37"/>
    </row>
    <row r="28" spans="1:29" ht="3" customHeight="1">
      <c r="A28" s="38"/>
      <c r="B28" s="39"/>
      <c r="C28" s="39"/>
      <c r="D28" s="39"/>
      <c r="E28" s="39"/>
      <c r="F28" s="40"/>
      <c r="G28" s="40"/>
      <c r="H28" s="39"/>
      <c r="I28" s="39"/>
      <c r="J28" s="39"/>
      <c r="K28" s="39"/>
      <c r="L28" s="39"/>
      <c r="M28" s="39"/>
      <c r="N28" s="39"/>
      <c r="O28" s="39"/>
      <c r="P28" s="39"/>
      <c r="Q28" s="39"/>
      <c r="R28" s="39"/>
      <c r="S28" s="39"/>
      <c r="T28" s="39"/>
      <c r="U28" s="39"/>
      <c r="V28" s="39"/>
      <c r="W28" s="39"/>
      <c r="X28" s="39"/>
      <c r="Y28" s="39"/>
      <c r="Z28" s="39"/>
      <c r="AA28" s="39"/>
      <c r="AB28" s="39"/>
      <c r="AC28" s="41"/>
    </row>
    <row r="29" spans="1:29" ht="7.5" customHeight="1">
      <c r="A29" s="42"/>
      <c r="B29" s="43"/>
      <c r="C29" s="43"/>
      <c r="D29" s="43"/>
      <c r="E29" s="43"/>
      <c r="F29" s="17"/>
      <c r="G29" s="17"/>
      <c r="H29" s="43"/>
      <c r="I29" s="43"/>
      <c r="J29" s="43"/>
      <c r="K29" s="43"/>
      <c r="L29" s="43"/>
      <c r="M29" s="43"/>
      <c r="N29" s="43"/>
      <c r="O29" s="43"/>
      <c r="P29" s="43"/>
      <c r="Q29" s="43"/>
      <c r="R29" s="43"/>
      <c r="S29" s="43"/>
      <c r="T29" s="43"/>
      <c r="U29" s="43"/>
      <c r="V29" s="43"/>
      <c r="W29" s="43"/>
      <c r="X29" s="43"/>
      <c r="Y29" s="43"/>
      <c r="Z29" s="43"/>
      <c r="AA29" s="43"/>
      <c r="AB29" s="43"/>
      <c r="AC29" s="44"/>
    </row>
    <row r="30" spans="1:29" ht="12.75" customHeight="1">
      <c r="A30" s="15"/>
      <c r="B30" s="23"/>
      <c r="C30" s="45"/>
      <c r="D30" s="233" t="s">
        <v>26</v>
      </c>
      <c r="E30" s="234"/>
      <c r="F30" s="234"/>
      <c r="G30" s="234"/>
      <c r="H30" s="234"/>
      <c r="I30" s="234"/>
      <c r="J30" s="234"/>
      <c r="K30" s="234"/>
      <c r="L30" s="234"/>
      <c r="M30" s="234"/>
      <c r="N30" s="234"/>
      <c r="O30" s="258"/>
      <c r="P30" s="23"/>
      <c r="Q30" s="247" t="s">
        <v>27</v>
      </c>
      <c r="R30" s="234"/>
      <c r="S30" s="234"/>
      <c r="T30" s="234"/>
      <c r="U30" s="234"/>
      <c r="V30" s="234"/>
      <c r="W30" s="234"/>
      <c r="X30" s="234"/>
      <c r="Y30" s="234"/>
      <c r="Z30" s="234"/>
      <c r="AA30" s="234"/>
      <c r="AB30" s="17"/>
      <c r="AC30" s="30"/>
    </row>
    <row r="31" spans="1:29" ht="6" customHeight="1">
      <c r="A31" s="15"/>
      <c r="B31" s="26"/>
      <c r="C31" s="26"/>
      <c r="D31" s="17"/>
      <c r="E31" s="17"/>
      <c r="F31" s="17"/>
      <c r="G31" s="17"/>
      <c r="H31" s="17"/>
      <c r="I31" s="17"/>
      <c r="J31" s="17"/>
      <c r="K31" s="17"/>
      <c r="L31" s="19"/>
      <c r="M31" s="19"/>
      <c r="N31" s="19"/>
      <c r="O31" s="17"/>
      <c r="P31" s="26"/>
      <c r="Q31" s="17"/>
      <c r="R31" s="17"/>
      <c r="S31" s="17"/>
      <c r="T31" s="17"/>
      <c r="U31" s="17"/>
      <c r="V31" s="17"/>
      <c r="W31" s="17"/>
      <c r="X31" s="17"/>
      <c r="Y31" s="17"/>
      <c r="Z31" s="17"/>
      <c r="AA31" s="17"/>
      <c r="AB31" s="17"/>
      <c r="AC31" s="30"/>
    </row>
    <row r="32" spans="1:29" ht="15.75" customHeight="1">
      <c r="A32" s="31"/>
      <c r="B32" s="23" t="s">
        <v>15</v>
      </c>
      <c r="C32" s="25"/>
      <c r="D32" s="233" t="s">
        <v>28</v>
      </c>
      <c r="E32" s="234"/>
      <c r="F32" s="234"/>
      <c r="G32" s="234"/>
      <c r="H32" s="234"/>
      <c r="I32" s="234"/>
      <c r="J32" s="234"/>
      <c r="K32" s="234"/>
      <c r="L32" s="234"/>
      <c r="M32" s="234"/>
      <c r="N32" s="17"/>
      <c r="O32" s="17"/>
      <c r="P32" s="23"/>
      <c r="Q32" s="247" t="s">
        <v>29</v>
      </c>
      <c r="R32" s="234"/>
      <c r="S32" s="234"/>
      <c r="T32" s="234"/>
      <c r="U32" s="234"/>
      <c r="V32" s="234"/>
      <c r="W32" s="234"/>
      <c r="X32" s="234"/>
      <c r="Y32" s="234"/>
      <c r="Z32" s="234"/>
      <c r="AA32" s="17"/>
      <c r="AB32" s="17"/>
      <c r="AC32" s="30"/>
    </row>
    <row r="33" spans="1:29" ht="23.25" customHeight="1">
      <c r="A33" s="15"/>
      <c r="B33" s="17"/>
      <c r="C33" s="17"/>
      <c r="D33" s="17"/>
      <c r="E33" s="17"/>
      <c r="F33" s="17"/>
      <c r="G33" s="17"/>
      <c r="H33" s="17"/>
      <c r="I33" s="17"/>
      <c r="J33" s="17"/>
      <c r="K33" s="17"/>
      <c r="L33" s="17"/>
      <c r="M33" s="17"/>
      <c r="N33" s="17"/>
      <c r="O33" s="17"/>
      <c r="P33" s="17"/>
      <c r="Q33" s="24"/>
      <c r="R33" s="46"/>
      <c r="S33" s="249" t="s">
        <v>30</v>
      </c>
      <c r="T33" s="234"/>
      <c r="U33" s="234"/>
      <c r="V33" s="234"/>
      <c r="W33" s="234"/>
      <c r="X33" s="234"/>
      <c r="Y33" s="47"/>
      <c r="Z33" s="249" t="s">
        <v>31</v>
      </c>
      <c r="AA33" s="234"/>
      <c r="AB33" s="234"/>
      <c r="AC33" s="248"/>
    </row>
    <row r="34" spans="1:29" ht="12.75" customHeight="1">
      <c r="A34" s="15"/>
      <c r="B34" s="26"/>
      <c r="C34" s="26"/>
      <c r="D34" s="17"/>
      <c r="E34" s="17"/>
      <c r="F34" s="17"/>
      <c r="G34" s="17"/>
      <c r="H34" s="17"/>
      <c r="I34" s="17"/>
      <c r="J34" s="17"/>
      <c r="K34" s="17"/>
      <c r="L34" s="17"/>
      <c r="M34" s="17"/>
      <c r="N34" s="17"/>
      <c r="O34" s="17"/>
      <c r="P34" s="17"/>
      <c r="Q34" s="48"/>
      <c r="R34" s="46"/>
      <c r="S34" s="249" t="s">
        <v>32</v>
      </c>
      <c r="T34" s="234"/>
      <c r="U34" s="234"/>
      <c r="V34" s="234"/>
      <c r="W34" s="234"/>
      <c r="X34" s="234"/>
      <c r="Y34" s="49"/>
      <c r="Z34" s="249" t="s">
        <v>33</v>
      </c>
      <c r="AA34" s="234"/>
      <c r="AB34" s="234"/>
      <c r="AC34" s="248"/>
    </row>
    <row r="35" spans="1:29" ht="6" customHeight="1">
      <c r="A35" s="15"/>
      <c r="B35" s="26"/>
      <c r="C35" s="26"/>
      <c r="D35" s="17"/>
      <c r="E35" s="17"/>
      <c r="F35" s="17"/>
      <c r="G35" s="17"/>
      <c r="H35" s="17"/>
      <c r="I35" s="17"/>
      <c r="J35" s="17"/>
      <c r="K35" s="17"/>
      <c r="L35" s="17"/>
      <c r="M35" s="17"/>
      <c r="N35" s="17"/>
      <c r="O35" s="17"/>
      <c r="P35" s="17"/>
      <c r="Q35" s="48"/>
      <c r="R35" s="50"/>
      <c r="S35" s="24"/>
      <c r="T35" s="24"/>
      <c r="U35" s="24"/>
      <c r="V35" s="24"/>
      <c r="W35" s="24"/>
      <c r="X35" s="24"/>
      <c r="Y35" s="48"/>
      <c r="Z35" s="24"/>
      <c r="AA35" s="24"/>
      <c r="AB35" s="24"/>
      <c r="AC35" s="51"/>
    </row>
    <row r="36" spans="1:29" ht="16.5" customHeight="1">
      <c r="A36" s="277" t="s">
        <v>34</v>
      </c>
      <c r="B36" s="234"/>
      <c r="C36" s="234"/>
      <c r="D36" s="234"/>
      <c r="E36" s="234"/>
      <c r="F36" s="234"/>
      <c r="G36" s="234"/>
      <c r="H36" s="234"/>
      <c r="I36" s="234"/>
      <c r="J36" s="234"/>
      <c r="K36" s="234"/>
      <c r="L36" s="234"/>
      <c r="M36" s="234"/>
      <c r="N36" s="234"/>
      <c r="O36" s="234"/>
      <c r="P36" s="17"/>
      <c r="Q36" s="48"/>
      <c r="R36" s="52"/>
      <c r="S36" s="24"/>
      <c r="T36" s="24"/>
      <c r="U36" s="24"/>
      <c r="V36" s="24"/>
      <c r="W36" s="24"/>
      <c r="X36" s="24"/>
      <c r="Y36" s="48"/>
      <c r="Z36" s="24"/>
      <c r="AA36" s="24"/>
      <c r="AB36" s="24"/>
      <c r="AC36" s="51"/>
    </row>
    <row r="37" spans="1:29" ht="6" customHeight="1">
      <c r="A37" s="10"/>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14"/>
    </row>
    <row r="38" spans="1:29" ht="19.5" customHeight="1">
      <c r="A38" s="245" t="s">
        <v>35</v>
      </c>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c r="Z38" s="239"/>
      <c r="AA38" s="239"/>
      <c r="AB38" s="239"/>
      <c r="AC38" s="240"/>
    </row>
    <row r="39" spans="1:29" ht="16.5" customHeight="1">
      <c r="A39" s="53" t="s">
        <v>36</v>
      </c>
      <c r="B39" s="278" t="s">
        <v>37</v>
      </c>
      <c r="C39" s="239"/>
      <c r="D39" s="239"/>
      <c r="E39" s="239"/>
      <c r="F39" s="239"/>
      <c r="G39" s="239"/>
      <c r="H39" s="239"/>
      <c r="I39" s="239"/>
      <c r="J39" s="239"/>
      <c r="K39" s="239"/>
      <c r="L39" s="239"/>
      <c r="M39" s="239"/>
      <c r="N39" s="239"/>
      <c r="O39" s="239"/>
      <c r="P39" s="239"/>
      <c r="Q39" s="239"/>
      <c r="R39" s="239"/>
      <c r="S39" s="239"/>
      <c r="T39" s="239"/>
      <c r="U39" s="239"/>
      <c r="V39" s="239"/>
      <c r="W39" s="243"/>
      <c r="X39" s="54" t="s">
        <v>38</v>
      </c>
      <c r="Y39" s="278" t="s">
        <v>39</v>
      </c>
      <c r="Z39" s="243"/>
      <c r="AA39" s="278" t="s">
        <v>40</v>
      </c>
      <c r="AB39" s="239"/>
      <c r="AC39" s="240"/>
    </row>
    <row r="40" spans="1:29" ht="19.5" customHeight="1">
      <c r="A40" s="279">
        <v>1</v>
      </c>
      <c r="B40" s="238" t="s">
        <v>41</v>
      </c>
      <c r="C40" s="239"/>
      <c r="D40" s="239"/>
      <c r="E40" s="239"/>
      <c r="F40" s="239"/>
      <c r="G40" s="239"/>
      <c r="H40" s="239"/>
      <c r="I40" s="239"/>
      <c r="J40" s="239"/>
      <c r="K40" s="239"/>
      <c r="L40" s="239"/>
      <c r="M40" s="239"/>
      <c r="N40" s="239"/>
      <c r="O40" s="239"/>
      <c r="P40" s="239"/>
      <c r="Q40" s="239"/>
      <c r="R40" s="239"/>
      <c r="S40" s="239"/>
      <c r="T40" s="239"/>
      <c r="U40" s="239"/>
      <c r="V40" s="239"/>
      <c r="W40" s="239"/>
      <c r="X40" s="239"/>
      <c r="Y40" s="239"/>
      <c r="Z40" s="239"/>
      <c r="AA40" s="239"/>
      <c r="AB40" s="239"/>
      <c r="AC40" s="240"/>
    </row>
    <row r="41" spans="1:29" ht="21" customHeight="1">
      <c r="A41" s="252"/>
      <c r="B41" s="55" t="s">
        <v>42</v>
      </c>
      <c r="C41" s="241" t="s">
        <v>43</v>
      </c>
      <c r="D41" s="239"/>
      <c r="E41" s="239"/>
      <c r="F41" s="239"/>
      <c r="G41" s="239"/>
      <c r="H41" s="239"/>
      <c r="I41" s="239"/>
      <c r="J41" s="239"/>
      <c r="K41" s="239"/>
      <c r="L41" s="239"/>
      <c r="M41" s="239"/>
      <c r="N41" s="239"/>
      <c r="O41" s="239"/>
      <c r="P41" s="239"/>
      <c r="Q41" s="239"/>
      <c r="R41" s="239"/>
      <c r="S41" s="239"/>
      <c r="T41" s="239"/>
      <c r="U41" s="239"/>
      <c r="V41" s="239"/>
      <c r="W41" s="56"/>
      <c r="X41" s="49"/>
      <c r="Y41" s="242"/>
      <c r="Z41" s="243"/>
      <c r="AA41" s="244"/>
      <c r="AB41" s="239"/>
      <c r="AC41" s="240"/>
    </row>
    <row r="42" spans="1:29" ht="30" customHeight="1">
      <c r="A42" s="252"/>
      <c r="B42" s="57" t="s">
        <v>44</v>
      </c>
      <c r="C42" s="241" t="s">
        <v>45</v>
      </c>
      <c r="D42" s="239"/>
      <c r="E42" s="239"/>
      <c r="F42" s="239"/>
      <c r="G42" s="239"/>
      <c r="H42" s="239"/>
      <c r="I42" s="239"/>
      <c r="J42" s="239"/>
      <c r="K42" s="239"/>
      <c r="L42" s="239"/>
      <c r="M42" s="239"/>
      <c r="N42" s="239"/>
      <c r="O42" s="239"/>
      <c r="P42" s="239"/>
      <c r="Q42" s="239"/>
      <c r="R42" s="239"/>
      <c r="S42" s="239"/>
      <c r="T42" s="239"/>
      <c r="U42" s="239"/>
      <c r="V42" s="239"/>
      <c r="W42" s="56"/>
      <c r="X42" s="49"/>
      <c r="Y42" s="242"/>
      <c r="Z42" s="243"/>
      <c r="AA42" s="282"/>
      <c r="AB42" s="239"/>
      <c r="AC42" s="240"/>
    </row>
    <row r="43" spans="1:29" ht="42.75" customHeight="1">
      <c r="A43" s="252"/>
      <c r="B43" s="57" t="s">
        <v>46</v>
      </c>
      <c r="C43" s="241" t="s">
        <v>47</v>
      </c>
      <c r="D43" s="239"/>
      <c r="E43" s="239"/>
      <c r="F43" s="239"/>
      <c r="G43" s="239"/>
      <c r="H43" s="239"/>
      <c r="I43" s="239"/>
      <c r="J43" s="239"/>
      <c r="K43" s="239"/>
      <c r="L43" s="239"/>
      <c r="M43" s="239"/>
      <c r="N43" s="239"/>
      <c r="O43" s="239"/>
      <c r="P43" s="239"/>
      <c r="Q43" s="239"/>
      <c r="R43" s="239"/>
      <c r="S43" s="239"/>
      <c r="T43" s="239"/>
      <c r="U43" s="239"/>
      <c r="V43" s="239"/>
      <c r="W43" s="56"/>
      <c r="X43" s="49"/>
      <c r="Y43" s="242"/>
      <c r="Z43" s="243"/>
      <c r="AA43" s="276"/>
      <c r="AB43" s="239"/>
      <c r="AC43" s="240"/>
    </row>
    <row r="44" spans="1:29" ht="28.5" customHeight="1">
      <c r="A44" s="280"/>
      <c r="B44" s="57" t="s">
        <v>48</v>
      </c>
      <c r="C44" s="241" t="s">
        <v>49</v>
      </c>
      <c r="D44" s="239"/>
      <c r="E44" s="239"/>
      <c r="F44" s="239"/>
      <c r="G44" s="239"/>
      <c r="H44" s="239"/>
      <c r="I44" s="239"/>
      <c r="J44" s="239"/>
      <c r="K44" s="239"/>
      <c r="L44" s="239"/>
      <c r="M44" s="239"/>
      <c r="N44" s="239"/>
      <c r="O44" s="239"/>
      <c r="P44" s="239"/>
      <c r="Q44" s="239"/>
      <c r="R44" s="239"/>
      <c r="S44" s="239"/>
      <c r="T44" s="239"/>
      <c r="U44" s="239"/>
      <c r="V44" s="239"/>
      <c r="W44" s="58"/>
      <c r="X44" s="49"/>
      <c r="Y44" s="242"/>
      <c r="Z44" s="243"/>
      <c r="AA44" s="281"/>
      <c r="AB44" s="239"/>
      <c r="AC44" s="240"/>
    </row>
    <row r="45" spans="1:29" ht="23.25" customHeight="1">
      <c r="A45" s="59">
        <v>2</v>
      </c>
      <c r="B45" s="272" t="s">
        <v>50</v>
      </c>
      <c r="C45" s="239"/>
      <c r="D45" s="239"/>
      <c r="E45" s="239"/>
      <c r="F45" s="239"/>
      <c r="G45" s="239"/>
      <c r="H45" s="239"/>
      <c r="I45" s="239"/>
      <c r="J45" s="239"/>
      <c r="K45" s="239"/>
      <c r="L45" s="239"/>
      <c r="M45" s="239"/>
      <c r="N45" s="239"/>
      <c r="O45" s="239"/>
      <c r="P45" s="239"/>
      <c r="Q45" s="239"/>
      <c r="R45" s="239"/>
      <c r="S45" s="239"/>
      <c r="T45" s="239"/>
      <c r="U45" s="239"/>
      <c r="V45" s="243"/>
      <c r="W45" s="60"/>
      <c r="X45" s="49"/>
      <c r="Y45" s="61"/>
      <c r="Z45" s="62"/>
      <c r="AA45" s="273"/>
      <c r="AB45" s="239"/>
      <c r="AC45" s="240"/>
    </row>
    <row r="46" spans="1:29" ht="23.25" customHeight="1">
      <c r="A46" s="59">
        <v>3</v>
      </c>
      <c r="B46" s="272" t="s">
        <v>51</v>
      </c>
      <c r="C46" s="239"/>
      <c r="D46" s="239"/>
      <c r="E46" s="239"/>
      <c r="F46" s="239"/>
      <c r="G46" s="239"/>
      <c r="H46" s="239"/>
      <c r="I46" s="239"/>
      <c r="J46" s="239"/>
      <c r="K46" s="239"/>
      <c r="L46" s="239"/>
      <c r="M46" s="239"/>
      <c r="N46" s="239"/>
      <c r="O46" s="239"/>
      <c r="P46" s="239"/>
      <c r="Q46" s="239"/>
      <c r="R46" s="239"/>
      <c r="S46" s="239"/>
      <c r="T46" s="239"/>
      <c r="U46" s="239"/>
      <c r="V46" s="243"/>
      <c r="W46" s="60"/>
      <c r="X46" s="274"/>
      <c r="Y46" s="239"/>
      <c r="Z46" s="243"/>
      <c r="AA46" s="242"/>
      <c r="AB46" s="239"/>
      <c r="AC46" s="240"/>
    </row>
    <row r="47" spans="1:29" ht="29.25" customHeight="1">
      <c r="A47" s="251"/>
      <c r="B47" s="63" t="s">
        <v>52</v>
      </c>
      <c r="C47" s="274" t="s">
        <v>53</v>
      </c>
      <c r="D47" s="239"/>
      <c r="E47" s="239"/>
      <c r="F47" s="239"/>
      <c r="G47" s="239"/>
      <c r="H47" s="239"/>
      <c r="I47" s="239"/>
      <c r="J47" s="239"/>
      <c r="K47" s="239"/>
      <c r="L47" s="239"/>
      <c r="M47" s="239"/>
      <c r="N47" s="239"/>
      <c r="O47" s="239"/>
      <c r="P47" s="239"/>
      <c r="Q47" s="239"/>
      <c r="R47" s="239"/>
      <c r="S47" s="239"/>
      <c r="T47" s="239"/>
      <c r="U47" s="239"/>
      <c r="V47" s="243"/>
      <c r="W47" s="46"/>
      <c r="X47" s="49"/>
      <c r="Y47" s="275"/>
      <c r="Z47" s="243"/>
      <c r="AA47" s="273"/>
      <c r="AB47" s="239"/>
      <c r="AC47" s="240"/>
    </row>
    <row r="48" spans="1:29" ht="23.25" customHeight="1">
      <c r="A48" s="252"/>
      <c r="B48" s="63" t="s">
        <v>54</v>
      </c>
      <c r="C48" s="274" t="s">
        <v>55</v>
      </c>
      <c r="D48" s="239"/>
      <c r="E48" s="239"/>
      <c r="F48" s="239"/>
      <c r="G48" s="239"/>
      <c r="H48" s="239"/>
      <c r="I48" s="239"/>
      <c r="J48" s="239"/>
      <c r="K48" s="239"/>
      <c r="L48" s="239"/>
      <c r="M48" s="239"/>
      <c r="N48" s="239"/>
      <c r="O48" s="239"/>
      <c r="P48" s="239"/>
      <c r="Q48" s="239"/>
      <c r="R48" s="239"/>
      <c r="S48" s="239"/>
      <c r="T48" s="239"/>
      <c r="U48" s="239"/>
      <c r="V48" s="243"/>
      <c r="W48" s="63"/>
      <c r="X48" s="49"/>
      <c r="Y48" s="275"/>
      <c r="Z48" s="243"/>
      <c r="AA48" s="273"/>
      <c r="AB48" s="239"/>
      <c r="AC48" s="240"/>
    </row>
    <row r="49" spans="1:29" ht="33" customHeight="1">
      <c r="A49" s="253"/>
      <c r="B49" s="64" t="s">
        <v>48</v>
      </c>
      <c r="C49" s="266" t="s">
        <v>56</v>
      </c>
      <c r="D49" s="267"/>
      <c r="E49" s="267"/>
      <c r="F49" s="267"/>
      <c r="G49" s="267"/>
      <c r="H49" s="267"/>
      <c r="I49" s="267"/>
      <c r="J49" s="267"/>
      <c r="K49" s="267"/>
      <c r="L49" s="267"/>
      <c r="M49" s="267"/>
      <c r="N49" s="267"/>
      <c r="O49" s="267"/>
      <c r="P49" s="267"/>
      <c r="Q49" s="267"/>
      <c r="R49" s="267"/>
      <c r="S49" s="267"/>
      <c r="T49" s="267"/>
      <c r="U49" s="267"/>
      <c r="V49" s="268"/>
      <c r="W49" s="64"/>
      <c r="X49" s="64"/>
      <c r="Y49" s="269"/>
      <c r="Z49" s="268"/>
      <c r="AA49" s="270"/>
      <c r="AB49" s="267"/>
      <c r="AC49" s="271"/>
    </row>
  </sheetData>
  <mergeCells count="71">
    <mergeCell ref="Y43:Z43"/>
    <mergeCell ref="AA43:AC43"/>
    <mergeCell ref="D32:M32"/>
    <mergeCell ref="A36:O36"/>
    <mergeCell ref="A38:AC38"/>
    <mergeCell ref="B39:W39"/>
    <mergeCell ref="Y39:Z39"/>
    <mergeCell ref="AA39:AC39"/>
    <mergeCell ref="A40:A44"/>
    <mergeCell ref="AA44:AC44"/>
    <mergeCell ref="C42:V42"/>
    <mergeCell ref="Y42:Z42"/>
    <mergeCell ref="AA42:AC42"/>
    <mergeCell ref="C43:V43"/>
    <mergeCell ref="Q32:Z32"/>
    <mergeCell ref="S33:X33"/>
    <mergeCell ref="C49:V49"/>
    <mergeCell ref="Y49:Z49"/>
    <mergeCell ref="AA49:AC49"/>
    <mergeCell ref="C44:V44"/>
    <mergeCell ref="Y44:Z44"/>
    <mergeCell ref="B45:V45"/>
    <mergeCell ref="AA45:AC45"/>
    <mergeCell ref="X46:Z46"/>
    <mergeCell ref="AA46:AC46"/>
    <mergeCell ref="B46:V46"/>
    <mergeCell ref="C47:V47"/>
    <mergeCell ref="Y47:Z47"/>
    <mergeCell ref="AA47:AC47"/>
    <mergeCell ref="C48:V48"/>
    <mergeCell ref="Y48:Z48"/>
    <mergeCell ref="AA48:AC48"/>
    <mergeCell ref="A47:A49"/>
    <mergeCell ref="F1:X3"/>
    <mergeCell ref="Y1:AC3"/>
    <mergeCell ref="A5:AC5"/>
    <mergeCell ref="A7:F7"/>
    <mergeCell ref="H8:L8"/>
    <mergeCell ref="O8:X8"/>
    <mergeCell ref="Y8:AB8"/>
    <mergeCell ref="A8:G8"/>
    <mergeCell ref="A9:F9"/>
    <mergeCell ref="H9:M9"/>
    <mergeCell ref="O9:V9"/>
    <mergeCell ref="Y9:AB9"/>
    <mergeCell ref="A11:F13"/>
    <mergeCell ref="S11:AB11"/>
    <mergeCell ref="S13:AB13"/>
    <mergeCell ref="H11:O11"/>
    <mergeCell ref="H13:Q13"/>
    <mergeCell ref="A15:I15"/>
    <mergeCell ref="K15:R15"/>
    <mergeCell ref="K17:AC17"/>
    <mergeCell ref="A19:AC19"/>
    <mergeCell ref="A20:AC20"/>
    <mergeCell ref="D22:L22"/>
    <mergeCell ref="X22:AC22"/>
    <mergeCell ref="D24:P24"/>
    <mergeCell ref="X24:AC24"/>
    <mergeCell ref="E25:K25"/>
    <mergeCell ref="T25:Z25"/>
    <mergeCell ref="A26:AC26"/>
    <mergeCell ref="B40:AC40"/>
    <mergeCell ref="C41:V41"/>
    <mergeCell ref="Y41:Z41"/>
    <mergeCell ref="AA41:AC41"/>
    <mergeCell ref="S34:X34"/>
    <mergeCell ref="Z34:AC34"/>
    <mergeCell ref="D30:O30"/>
    <mergeCell ref="Q30:AA30"/>
    <mergeCell ref="Z33:AC33"/>
  </mergeCells>
  <printOptions horizontalCentered="1" verticalCentered="1"/>
  <pageMargins left="0.19685039370078741" right="0.19685039370078741" top="0.19685039370078741" bottom="0.19685039370078741" header="0" footer="0"/>
  <pageSetup paperSize="9"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99"/>
  <sheetViews>
    <sheetView topLeftCell="A13" workbookViewId="0">
      <selection sqref="A1:M1"/>
    </sheetView>
  </sheetViews>
  <sheetFormatPr defaultColWidth="14.44140625" defaultRowHeight="15" customHeight="1"/>
  <cols>
    <col min="1" max="1" width="4.5546875" customWidth="1"/>
    <col min="2" max="2" width="45" customWidth="1"/>
    <col min="3" max="6" width="5.6640625" customWidth="1"/>
    <col min="7" max="7" width="14" customWidth="1"/>
    <col min="8" max="8" width="5.6640625" hidden="1" customWidth="1"/>
    <col min="9" max="9" width="6" hidden="1" customWidth="1"/>
    <col min="10" max="10" width="5.88671875" hidden="1" customWidth="1"/>
    <col min="11" max="11" width="5.88671875" customWidth="1"/>
    <col min="12" max="12" width="14.5546875" customWidth="1"/>
    <col min="13" max="13" width="27.109375" customWidth="1"/>
    <col min="14" max="15" width="2.88671875" hidden="1" customWidth="1"/>
    <col min="16" max="16" width="1.88671875" hidden="1" customWidth="1"/>
    <col min="17" max="17" width="24.44140625" hidden="1" customWidth="1"/>
    <col min="18" max="26" width="14.44140625" hidden="1"/>
  </cols>
  <sheetData>
    <row r="1" spans="1:17" ht="30.75" customHeight="1">
      <c r="A1" s="298" t="s">
        <v>57</v>
      </c>
      <c r="B1" s="239"/>
      <c r="C1" s="239"/>
      <c r="D1" s="239"/>
      <c r="E1" s="239"/>
      <c r="F1" s="239"/>
      <c r="G1" s="239"/>
      <c r="H1" s="239"/>
      <c r="I1" s="239"/>
      <c r="J1" s="239"/>
      <c r="K1" s="239"/>
      <c r="L1" s="239"/>
      <c r="M1" s="243"/>
      <c r="N1" s="65"/>
      <c r="O1" s="65"/>
      <c r="P1" s="65"/>
      <c r="Q1" s="66"/>
    </row>
    <row r="2" spans="1:17" ht="46.5" customHeight="1">
      <c r="A2" s="299" t="s">
        <v>58</v>
      </c>
      <c r="B2" s="243"/>
      <c r="C2" s="285"/>
      <c r="D2" s="239"/>
      <c r="E2" s="239"/>
      <c r="F2" s="239"/>
      <c r="G2" s="239"/>
      <c r="H2" s="239"/>
      <c r="I2" s="239"/>
      <c r="J2" s="239"/>
      <c r="K2" s="239"/>
      <c r="L2" s="239"/>
      <c r="M2" s="243"/>
      <c r="N2" s="68"/>
      <c r="O2" s="68"/>
      <c r="P2" s="68"/>
      <c r="Q2" s="66"/>
    </row>
    <row r="3" spans="1:17" ht="69.75" customHeight="1">
      <c r="A3" s="300" t="s">
        <v>59</v>
      </c>
      <c r="B3" s="301"/>
      <c r="C3" s="69" t="s">
        <v>60</v>
      </c>
      <c r="D3" s="69" t="s">
        <v>61</v>
      </c>
      <c r="E3" s="69" t="s">
        <v>62</v>
      </c>
      <c r="F3" s="69" t="s">
        <v>63</v>
      </c>
      <c r="G3" s="69" t="s">
        <v>64</v>
      </c>
      <c r="H3" s="69" t="s">
        <v>65</v>
      </c>
      <c r="I3" s="69" t="s">
        <v>66</v>
      </c>
      <c r="J3" s="69" t="s">
        <v>67</v>
      </c>
      <c r="K3" s="302" t="s">
        <v>68</v>
      </c>
      <c r="L3" s="303"/>
      <c r="M3" s="304"/>
      <c r="N3" s="17"/>
      <c r="O3" s="17"/>
      <c r="P3" s="17"/>
      <c r="Q3" s="66"/>
    </row>
    <row r="4" spans="1:17" ht="71.25" customHeight="1">
      <c r="A4" s="70" t="s">
        <v>69</v>
      </c>
      <c r="B4" s="71" t="s">
        <v>70</v>
      </c>
      <c r="C4" s="294" t="s">
        <v>71</v>
      </c>
      <c r="D4" s="236"/>
      <c r="E4" s="236"/>
      <c r="F4" s="236"/>
      <c r="G4" s="236"/>
      <c r="H4" s="236"/>
      <c r="I4" s="236"/>
      <c r="J4" s="236"/>
      <c r="K4" s="275"/>
      <c r="L4" s="239"/>
      <c r="M4" s="243"/>
      <c r="N4" s="24"/>
      <c r="O4" s="24"/>
      <c r="P4" s="24"/>
      <c r="Q4" s="22"/>
    </row>
    <row r="5" spans="1:17" ht="83.25" customHeight="1">
      <c r="A5" s="70" t="s">
        <v>72</v>
      </c>
      <c r="B5" s="71" t="s">
        <v>73</v>
      </c>
      <c r="C5" s="49"/>
      <c r="D5" s="49"/>
      <c r="E5" s="49"/>
      <c r="F5" s="49"/>
      <c r="G5" s="49"/>
      <c r="H5" s="72"/>
      <c r="I5" s="72"/>
      <c r="J5" s="72"/>
      <c r="K5" s="295"/>
      <c r="L5" s="262"/>
      <c r="M5" s="296"/>
      <c r="N5" s="24"/>
      <c r="O5" s="24"/>
      <c r="P5" s="24"/>
      <c r="Q5" s="66"/>
    </row>
    <row r="6" spans="1:17" ht="42" customHeight="1">
      <c r="A6" s="73" t="s">
        <v>74</v>
      </c>
      <c r="B6" s="74" t="s">
        <v>75</v>
      </c>
      <c r="C6" s="49"/>
      <c r="D6" s="49"/>
      <c r="E6" s="49"/>
      <c r="F6" s="49"/>
      <c r="G6" s="49"/>
      <c r="H6" s="72"/>
      <c r="I6" s="72"/>
      <c r="J6" s="72"/>
      <c r="K6" s="297"/>
      <c r="L6" s="262"/>
      <c r="M6" s="296"/>
      <c r="N6" s="24"/>
      <c r="O6" s="24"/>
      <c r="P6" s="24"/>
      <c r="Q6" s="66"/>
    </row>
    <row r="7" spans="1:17" ht="69">
      <c r="A7" s="73" t="s">
        <v>76</v>
      </c>
      <c r="B7" s="75" t="s">
        <v>77</v>
      </c>
      <c r="C7" s="49"/>
      <c r="D7" s="49"/>
      <c r="E7" s="49"/>
      <c r="F7" s="49"/>
      <c r="G7" s="49"/>
      <c r="H7" s="72"/>
      <c r="I7" s="72"/>
      <c r="J7" s="72"/>
      <c r="K7" s="297"/>
      <c r="L7" s="262"/>
      <c r="M7" s="296"/>
      <c r="N7" s="24"/>
      <c r="O7" s="24"/>
      <c r="P7" s="24"/>
      <c r="Q7" s="76"/>
    </row>
    <row r="8" spans="1:17" ht="56.25" customHeight="1">
      <c r="A8" s="291" t="s">
        <v>78</v>
      </c>
      <c r="B8" s="292"/>
      <c r="C8" s="77" t="s">
        <v>60</v>
      </c>
      <c r="D8" s="77" t="s">
        <v>61</v>
      </c>
      <c r="E8" s="77" t="s">
        <v>62</v>
      </c>
      <c r="F8" s="77" t="s">
        <v>63</v>
      </c>
      <c r="G8" s="77" t="s">
        <v>64</v>
      </c>
      <c r="H8" s="77" t="s">
        <v>65</v>
      </c>
      <c r="I8" s="77" t="s">
        <v>66</v>
      </c>
      <c r="J8" s="77" t="s">
        <v>67</v>
      </c>
      <c r="K8" s="293" t="s">
        <v>68</v>
      </c>
      <c r="L8" s="239"/>
      <c r="M8" s="243"/>
      <c r="N8" s="24"/>
      <c r="O8" s="24"/>
      <c r="P8" s="24"/>
      <c r="Q8" s="66"/>
    </row>
    <row r="9" spans="1:17" ht="19.5" customHeight="1">
      <c r="A9" s="283" t="s">
        <v>79</v>
      </c>
      <c r="B9" s="239"/>
      <c r="C9" s="239"/>
      <c r="D9" s="239"/>
      <c r="E9" s="239"/>
      <c r="F9" s="239"/>
      <c r="G9" s="239"/>
      <c r="H9" s="239"/>
      <c r="I9" s="239"/>
      <c r="J9" s="239"/>
      <c r="K9" s="239"/>
      <c r="L9" s="239"/>
      <c r="M9" s="243"/>
      <c r="N9" s="24"/>
      <c r="O9" s="24"/>
      <c r="P9" s="24"/>
      <c r="Q9" s="66"/>
    </row>
    <row r="10" spans="1:17" ht="60" customHeight="1">
      <c r="A10" s="29" t="s">
        <v>80</v>
      </c>
      <c r="B10" s="29" t="s">
        <v>81</v>
      </c>
      <c r="C10" s="286" t="s">
        <v>82</v>
      </c>
      <c r="D10" s="239"/>
      <c r="E10" s="239"/>
      <c r="F10" s="239"/>
      <c r="G10" s="243"/>
      <c r="H10" s="72"/>
      <c r="I10" s="72"/>
      <c r="J10" s="72"/>
      <c r="K10" s="286" t="s">
        <v>8</v>
      </c>
      <c r="L10" s="239"/>
      <c r="M10" s="243"/>
      <c r="N10" s="24"/>
      <c r="O10" s="24"/>
      <c r="P10" s="24"/>
      <c r="Q10" s="66"/>
    </row>
    <row r="11" spans="1:17" ht="66.75" customHeight="1">
      <c r="A11" s="29" t="s">
        <v>83</v>
      </c>
      <c r="B11" s="29" t="s">
        <v>84</v>
      </c>
      <c r="C11" s="286" t="s">
        <v>82</v>
      </c>
      <c r="D11" s="239"/>
      <c r="E11" s="239"/>
      <c r="F11" s="239"/>
      <c r="G11" s="243"/>
      <c r="H11" s="72"/>
      <c r="I11" s="72"/>
      <c r="J11" s="72"/>
      <c r="K11" s="286" t="s">
        <v>8</v>
      </c>
      <c r="L11" s="239"/>
      <c r="M11" s="243"/>
      <c r="N11" s="24"/>
      <c r="O11" s="24"/>
      <c r="P11" s="24"/>
      <c r="Q11" s="66"/>
    </row>
    <row r="12" spans="1:17" ht="24" customHeight="1">
      <c r="A12" s="283" t="s">
        <v>85</v>
      </c>
      <c r="B12" s="239"/>
      <c r="C12" s="239"/>
      <c r="D12" s="239"/>
      <c r="E12" s="239"/>
      <c r="F12" s="239"/>
      <c r="G12" s="239"/>
      <c r="H12" s="239"/>
      <c r="I12" s="239"/>
      <c r="J12" s="239"/>
      <c r="K12" s="239"/>
      <c r="L12" s="239"/>
      <c r="M12" s="243"/>
      <c r="N12" s="24"/>
      <c r="O12" s="24"/>
      <c r="P12" s="24"/>
      <c r="Q12" s="66"/>
    </row>
    <row r="13" spans="1:17" ht="183" customHeight="1">
      <c r="A13" s="78" t="s">
        <v>86</v>
      </c>
      <c r="B13" s="79" t="s">
        <v>87</v>
      </c>
      <c r="C13" s="286" t="s">
        <v>82</v>
      </c>
      <c r="D13" s="239"/>
      <c r="E13" s="239"/>
      <c r="F13" s="239"/>
      <c r="G13" s="243"/>
      <c r="H13" s="80"/>
      <c r="I13" s="80"/>
      <c r="J13" s="80"/>
      <c r="K13" s="286" t="s">
        <v>8</v>
      </c>
      <c r="L13" s="239"/>
      <c r="M13" s="243"/>
      <c r="N13" s="24"/>
      <c r="O13" s="24"/>
      <c r="P13" s="24"/>
      <c r="Q13" s="66"/>
    </row>
    <row r="14" spans="1:17" ht="49.5" customHeight="1">
      <c r="A14" s="290" t="s">
        <v>88</v>
      </c>
      <c r="B14" s="243"/>
      <c r="C14" s="81" t="s">
        <v>60</v>
      </c>
      <c r="D14" s="81" t="s">
        <v>61</v>
      </c>
      <c r="E14" s="81" t="s">
        <v>62</v>
      </c>
      <c r="F14" s="81" t="s">
        <v>63</v>
      </c>
      <c r="G14" s="81" t="s">
        <v>64</v>
      </c>
      <c r="H14" s="81" t="s">
        <v>65</v>
      </c>
      <c r="I14" s="81" t="s">
        <v>66</v>
      </c>
      <c r="J14" s="81" t="s">
        <v>67</v>
      </c>
      <c r="K14" s="288" t="s">
        <v>68</v>
      </c>
      <c r="L14" s="239"/>
      <c r="M14" s="243"/>
      <c r="N14" s="24"/>
      <c r="O14" s="24"/>
      <c r="P14" s="24"/>
      <c r="Q14" s="66"/>
    </row>
    <row r="15" spans="1:17" ht="18.75" customHeight="1">
      <c r="A15" s="287" t="s">
        <v>89</v>
      </c>
      <c r="B15" s="239"/>
      <c r="C15" s="239"/>
      <c r="D15" s="239"/>
      <c r="E15" s="239"/>
      <c r="F15" s="239"/>
      <c r="G15" s="239"/>
      <c r="H15" s="239"/>
      <c r="I15" s="239"/>
      <c r="J15" s="239"/>
      <c r="K15" s="239"/>
      <c r="L15" s="239"/>
      <c r="M15" s="243"/>
      <c r="N15" s="24"/>
      <c r="O15" s="24"/>
      <c r="P15" s="24"/>
      <c r="Q15" s="66"/>
    </row>
    <row r="16" spans="1:17" ht="81" customHeight="1">
      <c r="A16" s="82" t="s">
        <v>90</v>
      </c>
      <c r="B16" s="83" t="s">
        <v>91</v>
      </c>
      <c r="C16" s="286" t="s">
        <v>82</v>
      </c>
      <c r="D16" s="239"/>
      <c r="E16" s="239"/>
      <c r="F16" s="239"/>
      <c r="G16" s="243"/>
      <c r="H16" s="72"/>
      <c r="I16" s="72"/>
      <c r="J16" s="72"/>
      <c r="K16" s="286" t="s">
        <v>8</v>
      </c>
      <c r="L16" s="239"/>
      <c r="M16" s="243"/>
      <c r="N16" s="24"/>
      <c r="O16" s="24"/>
      <c r="P16" s="24"/>
      <c r="Q16" s="66"/>
    </row>
    <row r="17" spans="1:13" ht="16.5" customHeight="1">
      <c r="A17" s="287" t="s">
        <v>92</v>
      </c>
      <c r="B17" s="239"/>
      <c r="C17" s="239"/>
      <c r="D17" s="239"/>
      <c r="E17" s="239"/>
      <c r="F17" s="239"/>
      <c r="G17" s="239"/>
      <c r="H17" s="239"/>
      <c r="I17" s="239"/>
      <c r="J17" s="239"/>
      <c r="K17" s="239"/>
      <c r="L17" s="239"/>
      <c r="M17" s="243"/>
    </row>
    <row r="18" spans="1:13" ht="87.75" customHeight="1">
      <c r="A18" s="84" t="s">
        <v>93</v>
      </c>
      <c r="B18" s="85" t="s">
        <v>91</v>
      </c>
      <c r="C18" s="286" t="s">
        <v>82</v>
      </c>
      <c r="D18" s="239"/>
      <c r="E18" s="239"/>
      <c r="F18" s="239"/>
      <c r="G18" s="243"/>
      <c r="H18" s="72"/>
      <c r="I18" s="72"/>
      <c r="J18" s="72"/>
      <c r="K18" s="286" t="s">
        <v>8</v>
      </c>
      <c r="L18" s="239"/>
      <c r="M18" s="243"/>
    </row>
    <row r="19" spans="1:13" ht="37.5" customHeight="1">
      <c r="A19" s="288" t="s">
        <v>94</v>
      </c>
      <c r="B19" s="239"/>
      <c r="C19" s="239"/>
      <c r="D19" s="239"/>
      <c r="E19" s="239"/>
      <c r="F19" s="239"/>
      <c r="G19" s="239"/>
      <c r="H19" s="239"/>
      <c r="I19" s="239"/>
      <c r="J19" s="239"/>
      <c r="K19" s="239"/>
      <c r="L19" s="239"/>
      <c r="M19" s="243"/>
    </row>
    <row r="20" spans="1:13" ht="27.75" customHeight="1">
      <c r="A20" s="289" t="s">
        <v>95</v>
      </c>
      <c r="B20" s="243"/>
      <c r="C20" s="278" t="s">
        <v>96</v>
      </c>
      <c r="D20" s="239"/>
      <c r="E20" s="239"/>
      <c r="F20" s="243"/>
      <c r="G20" s="278" t="s">
        <v>97</v>
      </c>
      <c r="H20" s="243"/>
      <c r="I20" s="278" t="s">
        <v>98</v>
      </c>
      <c r="J20" s="239"/>
      <c r="K20" s="239"/>
      <c r="L20" s="243"/>
      <c r="M20" s="54" t="s">
        <v>68</v>
      </c>
    </row>
    <row r="21" spans="1:13" ht="27.75" customHeight="1">
      <c r="A21" s="23">
        <v>1</v>
      </c>
      <c r="B21" s="29" t="s">
        <v>99</v>
      </c>
      <c r="C21" s="285" t="s">
        <v>100</v>
      </c>
      <c r="D21" s="239"/>
      <c r="E21" s="239"/>
      <c r="F21" s="243"/>
      <c r="G21" s="285" t="s">
        <v>101</v>
      </c>
      <c r="H21" s="239"/>
      <c r="I21" s="239"/>
      <c r="J21" s="243"/>
      <c r="K21" s="264" t="s">
        <v>39</v>
      </c>
      <c r="L21" s="243"/>
      <c r="M21" s="23" t="s">
        <v>102</v>
      </c>
    </row>
    <row r="22" spans="1:13" ht="27.75" customHeight="1">
      <c r="A22" s="23">
        <v>2</v>
      </c>
      <c r="B22" s="29" t="s">
        <v>103</v>
      </c>
      <c r="C22" s="285" t="s">
        <v>104</v>
      </c>
      <c r="D22" s="239"/>
      <c r="E22" s="239"/>
      <c r="F22" s="243"/>
      <c r="G22" s="285" t="s">
        <v>105</v>
      </c>
      <c r="H22" s="239"/>
      <c r="I22" s="239"/>
      <c r="J22" s="243"/>
      <c r="K22" s="264" t="s">
        <v>39</v>
      </c>
      <c r="L22" s="243"/>
      <c r="M22" s="23" t="s">
        <v>102</v>
      </c>
    </row>
    <row r="23" spans="1:13" ht="27.75" customHeight="1">
      <c r="A23" s="23">
        <v>3</v>
      </c>
      <c r="B23" s="29" t="s">
        <v>106</v>
      </c>
      <c r="C23" s="285" t="s">
        <v>107</v>
      </c>
      <c r="D23" s="239"/>
      <c r="E23" s="239"/>
      <c r="F23" s="243"/>
      <c r="G23" s="285" t="s">
        <v>108</v>
      </c>
      <c r="H23" s="239"/>
      <c r="I23" s="239"/>
      <c r="J23" s="243"/>
      <c r="K23" s="264" t="s">
        <v>39</v>
      </c>
      <c r="L23" s="243"/>
      <c r="M23" s="23" t="s">
        <v>102</v>
      </c>
    </row>
    <row r="24" spans="1:13" ht="27.75" customHeight="1">
      <c r="A24" s="23">
        <v>4</v>
      </c>
      <c r="B24" s="29" t="s">
        <v>109</v>
      </c>
      <c r="C24" s="285" t="s">
        <v>110</v>
      </c>
      <c r="D24" s="239"/>
      <c r="E24" s="239"/>
      <c r="F24" s="243"/>
      <c r="G24" s="285" t="s">
        <v>111</v>
      </c>
      <c r="H24" s="239"/>
      <c r="I24" s="239"/>
      <c r="J24" s="243"/>
      <c r="K24" s="264" t="s">
        <v>82</v>
      </c>
      <c r="L24" s="243"/>
      <c r="M24" s="23" t="s">
        <v>82</v>
      </c>
    </row>
    <row r="25" spans="1:13" ht="27.75" customHeight="1">
      <c r="A25" s="23">
        <v>5</v>
      </c>
      <c r="B25" s="29" t="s">
        <v>112</v>
      </c>
      <c r="C25" s="285" t="s">
        <v>113</v>
      </c>
      <c r="D25" s="239"/>
      <c r="E25" s="239"/>
      <c r="F25" s="243"/>
      <c r="G25" s="285" t="s">
        <v>114</v>
      </c>
      <c r="H25" s="239"/>
      <c r="I25" s="239"/>
      <c r="J25" s="243"/>
      <c r="K25" s="264" t="s">
        <v>82</v>
      </c>
      <c r="L25" s="243"/>
      <c r="M25" s="23" t="s">
        <v>82</v>
      </c>
    </row>
    <row r="26" spans="1:13" ht="27.75" customHeight="1">
      <c r="A26" s="283" t="s">
        <v>115</v>
      </c>
      <c r="B26" s="243"/>
      <c r="C26" s="286" t="s">
        <v>116</v>
      </c>
      <c r="D26" s="239"/>
      <c r="E26" s="239"/>
      <c r="F26" s="243"/>
      <c r="G26" s="278" t="s">
        <v>117</v>
      </c>
      <c r="H26" s="243"/>
      <c r="I26" s="278" t="s">
        <v>68</v>
      </c>
      <c r="J26" s="239"/>
      <c r="K26" s="239"/>
      <c r="L26" s="239"/>
      <c r="M26" s="243"/>
    </row>
    <row r="27" spans="1:13" ht="27.75" customHeight="1">
      <c r="A27" s="82"/>
      <c r="B27" s="86"/>
      <c r="C27" s="284"/>
      <c r="D27" s="239"/>
      <c r="E27" s="239"/>
      <c r="F27" s="243"/>
      <c r="G27" s="284"/>
      <c r="H27" s="243"/>
      <c r="I27" s="285"/>
      <c r="J27" s="239"/>
      <c r="K27" s="239"/>
      <c r="L27" s="239"/>
      <c r="M27" s="243"/>
    </row>
    <row r="28" spans="1:13" ht="15.75" hidden="1" customHeight="1"/>
    <row r="29" spans="1:13" ht="15.75" hidden="1" customHeight="1">
      <c r="B29" s="87"/>
    </row>
    <row r="30" spans="1:13" ht="15.75" hidden="1" customHeight="1"/>
    <row r="31" spans="1:13" ht="15.75" hidden="1" customHeight="1"/>
    <row r="32" spans="1:13" ht="15.75" hidden="1" customHeight="1"/>
    <row r="33" ht="15.75" hidden="1" customHeight="1"/>
    <row r="34" ht="15.75" hidden="1" customHeight="1"/>
    <row r="35" ht="15.75" hidden="1" customHeight="1"/>
    <row r="36" ht="15.75" hidden="1" customHeight="1"/>
    <row r="37" ht="15.75" hidden="1" customHeight="1"/>
    <row r="38" ht="15.75" hidden="1" customHeight="1"/>
    <row r="39" ht="15.75" hidden="1" customHeight="1"/>
    <row r="40" ht="15.75" hidden="1" customHeight="1"/>
    <row r="41" ht="15.75" hidden="1" customHeight="1"/>
    <row r="42" ht="15.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sheetData>
  <mergeCells count="55">
    <mergeCell ref="A1:M1"/>
    <mergeCell ref="A2:B2"/>
    <mergeCell ref="C2:M2"/>
    <mergeCell ref="A3:B3"/>
    <mergeCell ref="K3:M3"/>
    <mergeCell ref="C4:J4"/>
    <mergeCell ref="K4:M4"/>
    <mergeCell ref="K5:M5"/>
    <mergeCell ref="K6:M6"/>
    <mergeCell ref="K7:M7"/>
    <mergeCell ref="A8:B8"/>
    <mergeCell ref="K8:M8"/>
    <mergeCell ref="A9:M9"/>
    <mergeCell ref="K10:M10"/>
    <mergeCell ref="C10:G10"/>
    <mergeCell ref="C11:G11"/>
    <mergeCell ref="K11:M11"/>
    <mergeCell ref="A12:M12"/>
    <mergeCell ref="C13:G13"/>
    <mergeCell ref="K13:M13"/>
    <mergeCell ref="A14:B14"/>
    <mergeCell ref="K14:M14"/>
    <mergeCell ref="A15:M15"/>
    <mergeCell ref="C16:G16"/>
    <mergeCell ref="K16:M16"/>
    <mergeCell ref="A17:M17"/>
    <mergeCell ref="C18:G18"/>
    <mergeCell ref="K18:M18"/>
    <mergeCell ref="A19:M19"/>
    <mergeCell ref="A20:B20"/>
    <mergeCell ref="C20:F20"/>
    <mergeCell ref="G20:H20"/>
    <mergeCell ref="I20:L20"/>
    <mergeCell ref="G21:J21"/>
    <mergeCell ref="K21:L21"/>
    <mergeCell ref="C21:F21"/>
    <mergeCell ref="C22:F22"/>
    <mergeCell ref="G22:J22"/>
    <mergeCell ref="K22:L22"/>
    <mergeCell ref="C23:F23"/>
    <mergeCell ref="G23:J23"/>
    <mergeCell ref="K23:L23"/>
    <mergeCell ref="C26:F26"/>
    <mergeCell ref="G26:H26"/>
    <mergeCell ref="C24:F24"/>
    <mergeCell ref="G24:J24"/>
    <mergeCell ref="K24:L24"/>
    <mergeCell ref="C25:F25"/>
    <mergeCell ref="G25:J25"/>
    <mergeCell ref="K25:L25"/>
    <mergeCell ref="A26:B26"/>
    <mergeCell ref="I26:M26"/>
    <mergeCell ref="C27:F27"/>
    <mergeCell ref="G27:H27"/>
    <mergeCell ref="I27:M27"/>
  </mergeCells>
  <printOptions horizontalCentered="1" verticalCentered="1"/>
  <pageMargins left="0.19685039370078741" right="0.19685039370078741" top="0.19685039370078741" bottom="0.19685039370078741"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1001"/>
  <sheetViews>
    <sheetView zoomScale="80" zoomScaleNormal="80" workbookViewId="0">
      <selection sqref="A1:P1"/>
    </sheetView>
  </sheetViews>
  <sheetFormatPr defaultColWidth="14.44140625" defaultRowHeight="15" customHeight="1"/>
  <cols>
    <col min="1" max="1" width="4.5546875" customWidth="1"/>
    <col min="2" max="2" width="19.44140625" customWidth="1"/>
    <col min="3" max="3" width="35.5546875" customWidth="1"/>
    <col min="4" max="4" width="17.5546875" customWidth="1"/>
    <col min="5" max="5" width="17.109375" customWidth="1"/>
    <col min="6" max="7" width="17.33203125" customWidth="1"/>
    <col min="8" max="8" width="24.109375" customWidth="1"/>
    <col min="9" max="9" width="20.88671875" customWidth="1"/>
    <col min="10" max="10" width="15.6640625" customWidth="1"/>
    <col min="11" max="11" width="14.88671875" customWidth="1"/>
    <col min="12" max="12" width="10.5546875" customWidth="1"/>
    <col min="13" max="13" width="14.5546875" customWidth="1"/>
    <col min="14" max="14" width="7.33203125" customWidth="1"/>
    <col min="15" max="15" width="8.109375" customWidth="1"/>
    <col min="16" max="16" width="10" customWidth="1"/>
    <col min="17" max="18" width="3.5546875" hidden="1" customWidth="1"/>
    <col min="19" max="19" width="1.44140625" hidden="1" customWidth="1"/>
    <col min="20" max="20" width="2.88671875" hidden="1" customWidth="1"/>
    <col min="21" max="21" width="3.5546875" hidden="1" customWidth="1"/>
    <col min="22" max="22" width="2.5546875" hidden="1" customWidth="1"/>
    <col min="23" max="25" width="2.44140625" hidden="1" customWidth="1"/>
    <col min="26" max="28" width="2.5546875" hidden="1" customWidth="1"/>
    <col min="29" max="29" width="0.44140625" hidden="1" customWidth="1"/>
    <col min="30" max="30" width="2.5546875" hidden="1" customWidth="1"/>
    <col min="31" max="31" width="2.88671875" hidden="1" customWidth="1"/>
    <col min="32" max="32" width="3.109375" hidden="1" customWidth="1"/>
    <col min="33" max="33" width="1.44140625" hidden="1" customWidth="1"/>
    <col min="34" max="34" width="2.88671875" hidden="1" customWidth="1"/>
  </cols>
  <sheetData>
    <row r="1" spans="1:34" ht="46.5" customHeight="1">
      <c r="A1" s="306" t="s">
        <v>118</v>
      </c>
      <c r="B1" s="307"/>
      <c r="C1" s="307"/>
      <c r="D1" s="307"/>
      <c r="E1" s="307"/>
      <c r="F1" s="307"/>
      <c r="G1" s="307"/>
      <c r="H1" s="307"/>
      <c r="I1" s="307"/>
      <c r="J1" s="307"/>
      <c r="K1" s="307"/>
      <c r="L1" s="307"/>
      <c r="M1" s="307"/>
      <c r="N1" s="307"/>
      <c r="O1" s="307"/>
      <c r="P1" s="308"/>
      <c r="Q1" s="88"/>
      <c r="R1" s="88"/>
      <c r="S1" s="88"/>
      <c r="T1" s="88"/>
      <c r="U1" s="88"/>
      <c r="V1" s="88"/>
      <c r="W1" s="88"/>
      <c r="X1" s="88"/>
      <c r="Y1" s="88"/>
      <c r="Z1" s="88"/>
      <c r="AA1" s="88"/>
      <c r="AB1" s="88"/>
      <c r="AC1" s="88"/>
      <c r="AD1" s="88"/>
      <c r="AE1" s="88"/>
      <c r="AF1" s="88"/>
      <c r="AG1" s="88"/>
      <c r="AH1" s="66"/>
    </row>
    <row r="2" spans="1:34" ht="46.5" customHeight="1">
      <c r="A2" s="309" t="s">
        <v>36</v>
      </c>
      <c r="B2" s="309" t="s">
        <v>119</v>
      </c>
      <c r="C2" s="309" t="s">
        <v>120</v>
      </c>
      <c r="D2" s="309" t="s">
        <v>121</v>
      </c>
      <c r="E2" s="309" t="s">
        <v>122</v>
      </c>
      <c r="F2" s="309" t="s">
        <v>123</v>
      </c>
      <c r="G2" s="309" t="s">
        <v>124</v>
      </c>
      <c r="H2" s="309" t="s">
        <v>125</v>
      </c>
      <c r="I2" s="314" t="s">
        <v>126</v>
      </c>
      <c r="J2" s="309" t="s">
        <v>127</v>
      </c>
      <c r="K2" s="309" t="s">
        <v>128</v>
      </c>
      <c r="L2" s="286" t="s">
        <v>129</v>
      </c>
      <c r="M2" s="243"/>
      <c r="N2" s="311" t="s">
        <v>68</v>
      </c>
      <c r="O2" s="255"/>
      <c r="P2" s="257"/>
      <c r="Q2" s="88"/>
      <c r="R2" s="88"/>
      <c r="S2" s="88"/>
      <c r="T2" s="88"/>
      <c r="U2" s="88"/>
      <c r="V2" s="88"/>
      <c r="W2" s="88"/>
      <c r="X2" s="88"/>
      <c r="Y2" s="88"/>
      <c r="Z2" s="88"/>
      <c r="AA2" s="88"/>
      <c r="AB2" s="88"/>
      <c r="AC2" s="88"/>
      <c r="AD2" s="88"/>
      <c r="AE2" s="88"/>
      <c r="AF2" s="88"/>
      <c r="AG2" s="88"/>
      <c r="AH2" s="66"/>
    </row>
    <row r="3" spans="1:34" ht="114.75" customHeight="1">
      <c r="A3" s="310"/>
      <c r="B3" s="310"/>
      <c r="C3" s="310"/>
      <c r="D3" s="310"/>
      <c r="E3" s="310"/>
      <c r="F3" s="310"/>
      <c r="G3" s="310"/>
      <c r="H3" s="310"/>
      <c r="I3" s="310"/>
      <c r="J3" s="310"/>
      <c r="K3" s="310"/>
      <c r="L3" s="72" t="s">
        <v>130</v>
      </c>
      <c r="M3" s="72" t="s">
        <v>131</v>
      </c>
      <c r="N3" s="312"/>
      <c r="O3" s="262"/>
      <c r="P3" s="296"/>
      <c r="Q3" s="17"/>
      <c r="R3" s="17"/>
      <c r="S3" s="17"/>
      <c r="T3" s="17"/>
      <c r="U3" s="17"/>
      <c r="V3" s="305"/>
      <c r="W3" s="234"/>
      <c r="X3" s="234"/>
      <c r="Y3" s="234"/>
      <c r="Z3" s="305"/>
      <c r="AA3" s="234"/>
      <c r="AB3" s="234"/>
      <c r="AC3" s="234"/>
      <c r="AD3" s="305"/>
      <c r="AE3" s="234"/>
      <c r="AF3" s="234"/>
      <c r="AG3" s="234"/>
      <c r="AH3" s="66"/>
    </row>
    <row r="4" spans="1:34" ht="30" customHeight="1">
      <c r="A4" s="82">
        <v>1</v>
      </c>
      <c r="B4" s="89"/>
      <c r="C4" s="90"/>
      <c r="D4" s="91"/>
      <c r="E4" s="92"/>
      <c r="F4" s="93"/>
      <c r="G4" s="93"/>
      <c r="H4" s="93"/>
      <c r="I4" s="93"/>
      <c r="J4" s="93"/>
      <c r="K4" s="93"/>
      <c r="L4" s="94"/>
      <c r="M4" s="93"/>
      <c r="N4" s="95"/>
      <c r="O4" s="95"/>
      <c r="P4" s="95"/>
      <c r="Q4" s="17"/>
      <c r="R4" s="17"/>
      <c r="S4" s="17"/>
      <c r="T4" s="17"/>
      <c r="U4" s="17"/>
      <c r="V4" s="17"/>
      <c r="W4" s="17"/>
      <c r="X4" s="17"/>
      <c r="Y4" s="17"/>
      <c r="Z4" s="17"/>
      <c r="AA4" s="17"/>
      <c r="AB4" s="17"/>
      <c r="AC4" s="17"/>
      <c r="AD4" s="17"/>
      <c r="AE4" s="17"/>
      <c r="AF4" s="17"/>
      <c r="AG4" s="17"/>
      <c r="AH4" s="19"/>
    </row>
    <row r="5" spans="1:34" ht="30" customHeight="1">
      <c r="A5" s="82">
        <v>2</v>
      </c>
      <c r="B5" s="89"/>
      <c r="C5" s="96"/>
      <c r="D5" s="97"/>
      <c r="E5" s="98"/>
      <c r="F5" s="99"/>
      <c r="G5" s="99"/>
      <c r="H5" s="99"/>
      <c r="I5" s="93"/>
      <c r="J5" s="93"/>
      <c r="K5" s="93"/>
      <c r="L5" s="95"/>
      <c r="M5" s="93"/>
      <c r="N5" s="95"/>
      <c r="O5" s="95"/>
      <c r="P5" s="95"/>
      <c r="Q5" s="17"/>
      <c r="R5" s="17"/>
      <c r="S5" s="17"/>
      <c r="T5" s="17"/>
      <c r="U5" s="17"/>
      <c r="V5" s="17"/>
      <c r="W5" s="17"/>
      <c r="X5" s="17"/>
      <c r="Y5" s="17"/>
      <c r="Z5" s="17"/>
      <c r="AA5" s="17"/>
      <c r="AB5" s="17"/>
      <c r="AC5" s="17"/>
      <c r="AD5" s="17"/>
      <c r="AE5" s="17"/>
      <c r="AF5" s="17"/>
      <c r="AG5" s="17"/>
      <c r="AH5" s="19"/>
    </row>
    <row r="6" spans="1:34" ht="30" customHeight="1">
      <c r="A6" s="82">
        <v>3</v>
      </c>
      <c r="B6" s="89"/>
      <c r="C6" s="96"/>
      <c r="D6" s="97"/>
      <c r="E6" s="98"/>
      <c r="F6" s="99"/>
      <c r="G6" s="99"/>
      <c r="H6" s="99"/>
      <c r="I6" s="99"/>
      <c r="J6" s="99"/>
      <c r="K6" s="99"/>
      <c r="L6" s="95"/>
      <c r="M6" s="95"/>
      <c r="N6" s="95"/>
      <c r="O6" s="95"/>
      <c r="P6" s="95"/>
      <c r="Q6" s="17"/>
      <c r="R6" s="17"/>
      <c r="S6" s="17"/>
      <c r="T6" s="17"/>
      <c r="U6" s="17"/>
      <c r="V6" s="17"/>
      <c r="W6" s="17"/>
      <c r="X6" s="17"/>
      <c r="Y6" s="17"/>
      <c r="Z6" s="17"/>
      <c r="AA6" s="17"/>
      <c r="AB6" s="17"/>
      <c r="AC6" s="17"/>
      <c r="AD6" s="17"/>
      <c r="AE6" s="17"/>
      <c r="AF6" s="17"/>
      <c r="AG6" s="17"/>
      <c r="AH6" s="19"/>
    </row>
    <row r="7" spans="1:34" ht="30" customHeight="1">
      <c r="A7" s="82">
        <v>4</v>
      </c>
      <c r="B7" s="89"/>
      <c r="C7" s="96"/>
      <c r="D7" s="97"/>
      <c r="E7" s="98"/>
      <c r="F7" s="99"/>
      <c r="G7" s="99"/>
      <c r="H7" s="99"/>
      <c r="I7" s="99"/>
      <c r="J7" s="93"/>
      <c r="K7" s="99"/>
      <c r="L7" s="99"/>
      <c r="M7" s="95"/>
      <c r="N7" s="95"/>
      <c r="O7" s="95"/>
      <c r="P7" s="95"/>
      <c r="Q7" s="17"/>
      <c r="R7" s="17"/>
      <c r="S7" s="17"/>
      <c r="T7" s="17"/>
      <c r="U7" s="17"/>
      <c r="V7" s="17"/>
      <c r="W7" s="17"/>
      <c r="X7" s="17"/>
      <c r="Y7" s="17"/>
      <c r="Z7" s="17"/>
      <c r="AA7" s="17"/>
      <c r="AB7" s="17"/>
      <c r="AC7" s="17"/>
      <c r="AD7" s="17"/>
      <c r="AE7" s="17"/>
      <c r="AF7" s="17"/>
      <c r="AG7" s="17"/>
      <c r="AH7" s="19"/>
    </row>
    <row r="8" spans="1:34" ht="30" customHeight="1">
      <c r="A8" s="82">
        <v>5</v>
      </c>
      <c r="B8" s="100"/>
      <c r="C8" s="101"/>
      <c r="D8" s="102"/>
      <c r="E8" s="103"/>
      <c r="F8" s="99"/>
      <c r="G8" s="99"/>
      <c r="H8" s="99"/>
      <c r="I8" s="99"/>
      <c r="J8" s="93"/>
      <c r="K8" s="99"/>
      <c r="L8" s="99"/>
      <c r="M8" s="95"/>
      <c r="N8" s="95"/>
      <c r="O8" s="95"/>
      <c r="P8" s="95"/>
      <c r="Q8" s="17"/>
      <c r="R8" s="17"/>
      <c r="S8" s="17"/>
      <c r="T8" s="17"/>
      <c r="U8" s="17"/>
      <c r="V8" s="17"/>
      <c r="W8" s="17"/>
      <c r="X8" s="17"/>
      <c r="Y8" s="17"/>
      <c r="Z8" s="17"/>
      <c r="AA8" s="17"/>
      <c r="AB8" s="17"/>
      <c r="AC8" s="17"/>
      <c r="AD8" s="17"/>
      <c r="AE8" s="17"/>
      <c r="AF8" s="17"/>
      <c r="AG8" s="17"/>
      <c r="AH8" s="19"/>
    </row>
    <row r="9" spans="1:34" ht="30" customHeight="1">
      <c r="A9" s="82">
        <v>6</v>
      </c>
      <c r="B9" s="100"/>
      <c r="C9" s="101"/>
      <c r="D9" s="102"/>
      <c r="E9" s="103"/>
      <c r="F9" s="99"/>
      <c r="G9" s="99"/>
      <c r="H9" s="99"/>
      <c r="I9" s="99"/>
      <c r="J9" s="93"/>
      <c r="K9" s="99"/>
      <c r="L9" s="99"/>
      <c r="M9" s="95"/>
      <c r="N9" s="95"/>
      <c r="O9" s="95"/>
      <c r="P9" s="95"/>
      <c r="Q9" s="17"/>
      <c r="R9" s="17"/>
      <c r="S9" s="17"/>
      <c r="T9" s="17"/>
      <c r="U9" s="17"/>
      <c r="V9" s="17"/>
      <c r="W9" s="17"/>
      <c r="X9" s="17"/>
      <c r="Y9" s="17"/>
      <c r="Z9" s="17"/>
      <c r="AA9" s="17"/>
      <c r="AB9" s="17"/>
      <c r="AC9" s="17"/>
      <c r="AD9" s="17"/>
      <c r="AE9" s="17"/>
      <c r="AF9" s="17"/>
      <c r="AG9" s="17"/>
      <c r="AH9" s="19"/>
    </row>
    <row r="10" spans="1:34" ht="51" customHeight="1">
      <c r="A10" s="315" t="s">
        <v>132</v>
      </c>
      <c r="B10" s="239"/>
      <c r="C10" s="243"/>
      <c r="D10" s="316"/>
      <c r="E10" s="239"/>
      <c r="F10" s="239"/>
      <c r="G10" s="239"/>
      <c r="H10" s="239"/>
      <c r="I10" s="239"/>
      <c r="J10" s="239"/>
      <c r="K10" s="239"/>
      <c r="L10" s="239"/>
      <c r="M10" s="239"/>
      <c r="N10" s="239"/>
      <c r="O10" s="239"/>
      <c r="P10" s="243"/>
      <c r="Q10" s="17"/>
      <c r="R10" s="17"/>
      <c r="S10" s="17"/>
      <c r="T10" s="17"/>
      <c r="U10" s="17"/>
      <c r="V10" s="17"/>
      <c r="W10" s="17"/>
      <c r="X10" s="17"/>
      <c r="Y10" s="17"/>
      <c r="Z10" s="17"/>
      <c r="AA10" s="17"/>
      <c r="AB10" s="17"/>
      <c r="AC10" s="17"/>
      <c r="AD10" s="17"/>
      <c r="AE10" s="17"/>
      <c r="AF10" s="17"/>
      <c r="AG10" s="17"/>
      <c r="AH10" s="66"/>
    </row>
    <row r="11" spans="1:34" ht="117" customHeight="1">
      <c r="A11" s="317" t="s">
        <v>133</v>
      </c>
      <c r="B11" s="239"/>
      <c r="C11" s="239"/>
      <c r="D11" s="239"/>
      <c r="E11" s="239"/>
      <c r="F11" s="239"/>
      <c r="G11" s="239"/>
      <c r="H11" s="239"/>
      <c r="I11" s="239"/>
      <c r="J11" s="239"/>
      <c r="K11" s="239"/>
      <c r="L11" s="239"/>
      <c r="M11" s="239"/>
      <c r="N11" s="239"/>
      <c r="O11" s="239"/>
      <c r="P11" s="243"/>
      <c r="Q11" s="66"/>
      <c r="R11" s="66"/>
      <c r="S11" s="66"/>
      <c r="T11" s="66"/>
      <c r="U11" s="66"/>
      <c r="V11" s="66"/>
      <c r="W11" s="66"/>
      <c r="X11" s="66"/>
      <c r="Y11" s="66"/>
      <c r="Z11" s="66"/>
      <c r="AA11" s="66"/>
      <c r="AB11" s="66"/>
      <c r="AC11" s="66"/>
      <c r="AD11" s="66"/>
      <c r="AE11" s="66"/>
      <c r="AF11" s="66"/>
      <c r="AG11" s="66"/>
      <c r="AH11" s="66"/>
    </row>
    <row r="12" spans="1:34" ht="42.75" customHeight="1">
      <c r="A12" s="288" t="s">
        <v>134</v>
      </c>
      <c r="B12" s="239"/>
      <c r="C12" s="239"/>
      <c r="D12" s="239"/>
      <c r="E12" s="239"/>
      <c r="F12" s="239"/>
      <c r="G12" s="239"/>
      <c r="H12" s="239"/>
      <c r="I12" s="239"/>
      <c r="J12" s="239"/>
      <c r="K12" s="239"/>
      <c r="L12" s="239"/>
      <c r="M12" s="239"/>
      <c r="N12" s="239"/>
      <c r="O12" s="239"/>
      <c r="P12" s="243"/>
      <c r="Q12" s="66"/>
      <c r="R12" s="66"/>
      <c r="S12" s="66"/>
      <c r="T12" s="66"/>
      <c r="U12" s="66"/>
      <c r="V12" s="66"/>
      <c r="W12" s="66"/>
      <c r="X12" s="66"/>
      <c r="Y12" s="66"/>
      <c r="Z12" s="66"/>
      <c r="AA12" s="66"/>
      <c r="AB12" s="66"/>
      <c r="AC12" s="66"/>
      <c r="AD12" s="66"/>
      <c r="AE12" s="66"/>
      <c r="AF12" s="66"/>
      <c r="AG12" s="66"/>
      <c r="AH12" s="66"/>
    </row>
    <row r="13" spans="1:34" ht="33" customHeight="1">
      <c r="A13" s="286" t="s">
        <v>135</v>
      </c>
      <c r="B13" s="239"/>
      <c r="C13" s="239"/>
      <c r="D13" s="239"/>
      <c r="E13" s="239"/>
      <c r="F13" s="239"/>
      <c r="G13" s="239"/>
      <c r="H13" s="239"/>
      <c r="I13" s="239"/>
      <c r="J13" s="239"/>
      <c r="K13" s="239"/>
      <c r="L13" s="239"/>
      <c r="M13" s="239"/>
      <c r="N13" s="239"/>
      <c r="O13" s="239"/>
      <c r="P13" s="243"/>
      <c r="Q13" s="66"/>
      <c r="R13" s="66"/>
      <c r="S13" s="66"/>
      <c r="T13" s="66"/>
      <c r="U13" s="66"/>
      <c r="V13" s="66"/>
      <c r="W13" s="66"/>
      <c r="X13" s="66"/>
      <c r="Y13" s="66"/>
      <c r="Z13" s="66"/>
      <c r="AA13" s="66"/>
      <c r="AB13" s="66"/>
      <c r="AC13" s="66"/>
      <c r="AD13" s="66"/>
      <c r="AE13" s="66"/>
      <c r="AF13" s="66"/>
      <c r="AG13" s="66"/>
      <c r="AH13" s="66"/>
    </row>
    <row r="14" spans="1:34" ht="21.75" customHeight="1">
      <c r="A14" s="313" t="s">
        <v>136</v>
      </c>
      <c r="B14" s="239"/>
      <c r="C14" s="239"/>
      <c r="D14" s="239"/>
      <c r="E14" s="239"/>
      <c r="F14" s="239"/>
      <c r="G14" s="239"/>
      <c r="H14" s="239"/>
      <c r="I14" s="239"/>
      <c r="J14" s="239"/>
      <c r="K14" s="239"/>
      <c r="L14" s="239"/>
      <c r="M14" s="239"/>
      <c r="N14" s="239"/>
      <c r="O14" s="239"/>
      <c r="P14" s="243"/>
      <c r="Q14" s="66"/>
      <c r="R14" s="66"/>
      <c r="S14" s="66"/>
      <c r="T14" s="66"/>
      <c r="U14" s="66"/>
      <c r="V14" s="66"/>
      <c r="W14" s="66"/>
      <c r="X14" s="66"/>
      <c r="Y14" s="66"/>
      <c r="Z14" s="66"/>
      <c r="AA14" s="66"/>
      <c r="AB14" s="66"/>
      <c r="AC14" s="66"/>
      <c r="AD14" s="66"/>
      <c r="AE14" s="66"/>
      <c r="AF14" s="66"/>
      <c r="AG14" s="66"/>
      <c r="AH14" s="66"/>
    </row>
    <row r="15" spans="1:34" ht="14.4" hidden="1">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row>
    <row r="16" spans="1:34" ht="14.4" hidden="1">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row>
    <row r="17" spans="1:34" ht="14.4" hidden="1">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row>
    <row r="18" spans="1:34" ht="14.4" hidden="1">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row>
    <row r="19" spans="1:34" ht="14.4" hidden="1">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row>
    <row r="20" spans="1:34" ht="14.4" hidden="1">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row>
    <row r="21" spans="1:34" ht="14.4" hidden="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row>
    <row r="22" spans="1:34" ht="14.4" hidden="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row>
    <row r="23" spans="1:34" ht="14.4" hidden="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row>
    <row r="24" spans="1:34" ht="14.4" hidden="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row>
    <row r="25" spans="1:34" ht="14.4" hidden="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row>
    <row r="26" spans="1:34" ht="14.4" hidden="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row>
    <row r="27" spans="1:34" ht="14.4" hidden="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row>
    <row r="28" spans="1:34" ht="14.4" hidden="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row>
    <row r="29" spans="1:34" ht="14.4" hidden="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row>
    <row r="30" spans="1:34" ht="14.4" hidden="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row>
    <row r="31" spans="1:34" ht="14.4" hidden="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row>
    <row r="32" spans="1:34" ht="14.4" hidden="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row>
    <row r="33" spans="1:34" ht="14.4" hidden="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row>
    <row r="34" spans="1:34" ht="14.4" hidden="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row>
    <row r="35" spans="1:34" ht="14.4" hidden="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row>
    <row r="36" spans="1:34" ht="14.4" hidden="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row>
    <row r="37" spans="1:34" ht="14.4" hidden="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row>
    <row r="38" spans="1:34" ht="14.4" hidden="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row>
    <row r="39" spans="1:34" ht="14.4" hidden="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row>
    <row r="40" spans="1:34" ht="14.4" hidden="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row>
    <row r="41" spans="1:34" ht="14.4" hidden="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row>
    <row r="42" spans="1:34" ht="14.4" hidden="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row>
    <row r="43" spans="1:34" ht="14.4" hidden="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row>
    <row r="44" spans="1:34" ht="14.4" hidden="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row>
    <row r="45" spans="1:34" ht="14.4" hidden="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row>
    <row r="46" spans="1:34" ht="14.4" hidden="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row>
    <row r="47" spans="1:34" ht="14.4" hidden="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row>
    <row r="48" spans="1:34" ht="14.4" hidden="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row>
    <row r="49" spans="1:34" ht="14.4" hidden="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row>
    <row r="50" spans="1:34" ht="14.4" hidden="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row>
    <row r="51" spans="1:34" ht="14.4" hidden="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row>
    <row r="52" spans="1:34" ht="14.4" hidden="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row>
    <row r="53" spans="1:34" ht="14.4" hidden="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row>
    <row r="54" spans="1:34" ht="14.4" hidden="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row>
    <row r="55" spans="1:34" ht="14.4" hidden="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row>
    <row r="56" spans="1:34" ht="14.4" hidden="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row>
    <row r="57" spans="1:34" ht="14.4" hidden="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row>
    <row r="58" spans="1:34" ht="14.4" hidden="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row>
    <row r="59" spans="1:34" ht="14.4" hidden="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row>
    <row r="60" spans="1:34" ht="14.4" hidden="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row>
    <row r="61" spans="1:34" ht="14.4" hidden="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row>
    <row r="62" spans="1:34" ht="14.4" hidden="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row>
    <row r="63" spans="1:34" ht="14.4" hidden="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row>
    <row r="64" spans="1:34" ht="14.4" hidden="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row>
    <row r="65" spans="1:34" ht="14.4" hidden="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row>
    <row r="66" spans="1:34" ht="14.4" hidden="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row>
    <row r="67" spans="1:34" ht="14.4" hidden="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row>
    <row r="68" spans="1:34" ht="14.4" hidden="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row>
    <row r="69" spans="1:34" ht="14.4" hidden="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row>
    <row r="70" spans="1:34" ht="14.4" hidden="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row>
    <row r="71" spans="1:34" ht="14.4" hidden="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row>
    <row r="72" spans="1:34" ht="14.4" hidden="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row>
    <row r="73" spans="1:34" ht="14.4" hidden="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row>
    <row r="74" spans="1:34" ht="14.4" hidden="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row>
    <row r="75" spans="1:34" ht="14.4" hidden="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row>
    <row r="76" spans="1:34" ht="14.4" hidden="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row>
    <row r="77" spans="1:34" ht="14.4" hidden="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row>
    <row r="78" spans="1:34" ht="14.4" hidden="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34" ht="14.4" hidden="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row>
    <row r="80" spans="1:34" ht="14.4" hidden="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row>
    <row r="81" spans="1:34" ht="14.4" hidden="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row>
    <row r="82" spans="1:34" ht="14.4" hidden="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row>
    <row r="83" spans="1:34" ht="14.4" hidden="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row>
    <row r="84" spans="1:34" ht="14.4" hidden="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row>
    <row r="85" spans="1:34" ht="14.4" hidden="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row>
    <row r="86" spans="1:34" ht="14.4" hidden="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row>
    <row r="87" spans="1:34" ht="14.4" hidden="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row>
    <row r="88" spans="1:34" ht="14.4" hidden="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row>
    <row r="89" spans="1:34" ht="14.4" hidden="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row>
    <row r="90" spans="1:34" ht="14.4" hidden="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row>
    <row r="91" spans="1:34" ht="14.4" hidden="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row>
    <row r="92" spans="1:34" ht="14.4" hidden="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row>
    <row r="93" spans="1:34" ht="14.4" hidden="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row>
    <row r="94" spans="1:34" ht="14.4" hidden="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row>
    <row r="95" spans="1:34" ht="14.4" hidden="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row>
    <row r="96" spans="1:34" ht="14.4" hidden="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row>
    <row r="97" spans="1:34" ht="14.4" hidden="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row>
    <row r="98" spans="1:34" ht="14.4" hidden="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row>
    <row r="99" spans="1:34" ht="14.4" hidden="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row>
    <row r="100" spans="1:34" ht="14.4" hidden="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row>
    <row r="101" spans="1:34" ht="14.4" hidden="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row>
    <row r="102" spans="1:34" ht="14.4" hidden="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row>
    <row r="103" spans="1:34" ht="14.4" hidden="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row>
    <row r="104" spans="1:34" ht="14.4" hidden="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row>
    <row r="105" spans="1:34" ht="14.4" hidden="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row>
    <row r="106" spans="1:34" ht="14.4" hidden="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row>
    <row r="107" spans="1:34" ht="14.4" hidden="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row>
    <row r="108" spans="1:34" ht="14.4" hidden="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row>
    <row r="109" spans="1:34" ht="14.4" hidden="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row>
    <row r="110" spans="1:34" ht="14.4" hidden="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row>
    <row r="111" spans="1:34" ht="14.4" hidden="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row>
    <row r="112" spans="1:34" ht="14.4" hidden="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row>
    <row r="113" spans="1:34" ht="14.4" hidden="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row>
    <row r="114" spans="1:34" ht="14.4" hidden="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row>
    <row r="115" spans="1:34" ht="14.4" hidden="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row>
    <row r="116" spans="1:34" ht="14.4" hidden="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row>
    <row r="117" spans="1:34" ht="14.4" hidden="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row>
    <row r="118" spans="1:34" ht="14.4" hidden="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row>
    <row r="119" spans="1:34" ht="14.4" hidden="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row>
    <row r="120" spans="1:34" ht="14.4" hidden="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row>
    <row r="121" spans="1:34" ht="14.4" hidden="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row>
    <row r="122" spans="1:34" ht="14.4" hidden="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row>
    <row r="123" spans="1:34" ht="14.4" hidden="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row>
    <row r="124" spans="1:34" ht="14.4" hidden="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row>
    <row r="125" spans="1:34" ht="14.4" hidden="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row>
    <row r="126" spans="1:34" ht="14.4" hidden="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row>
    <row r="127" spans="1:34" ht="14.4" hidden="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row>
    <row r="128" spans="1:34" ht="14.4" hidden="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row>
    <row r="129" spans="1:34" ht="14.4" hidden="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row>
    <row r="130" spans="1:34" ht="14.4" hidden="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row>
    <row r="131" spans="1:34" ht="14.4" hidden="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row>
    <row r="132" spans="1:34" ht="14.4" hidden="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row>
    <row r="133" spans="1:34" ht="14.4" hidden="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row>
    <row r="134" spans="1:34" ht="14.4" hidden="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row>
    <row r="135" spans="1:34" ht="14.4" hidden="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row>
    <row r="136" spans="1:34" ht="14.4" hidden="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row>
    <row r="137" spans="1:34" ht="14.4" hidden="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row>
    <row r="138" spans="1:34" ht="14.4" hidden="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row>
    <row r="139" spans="1:34" ht="14.4" hidden="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row>
    <row r="140" spans="1:34" ht="14.4" hidden="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row>
    <row r="141" spans="1:34" ht="14.4" hidden="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row>
    <row r="142" spans="1:34" ht="14.4" hidden="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row>
    <row r="143" spans="1:34" ht="14.4" hidden="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row>
    <row r="144" spans="1:34" ht="14.4" hidden="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row>
    <row r="145" spans="1:34" ht="14.4" hidden="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row>
    <row r="146" spans="1:34" ht="14.4" hidden="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row>
    <row r="147" spans="1:34" ht="14.4" hidden="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row>
    <row r="148" spans="1:34" ht="14.4" hidden="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row>
    <row r="149" spans="1:34" ht="14.4" hidden="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row>
    <row r="150" spans="1:34" ht="14.4" hidden="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row>
    <row r="151" spans="1:34" ht="14.4" hidden="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row>
    <row r="152" spans="1:34" ht="14.4" hidden="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row>
    <row r="153" spans="1:34" ht="14.4" hidden="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row>
    <row r="154" spans="1:34" ht="14.4" hidden="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row>
    <row r="155" spans="1:34" ht="14.4" hidden="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row>
    <row r="156" spans="1:34" ht="14.4" hidden="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row>
    <row r="157" spans="1:34" ht="14.4" hidden="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row>
    <row r="158" spans="1:34" ht="14.4" hidden="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row>
    <row r="159" spans="1:34" ht="14.4" hidden="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row>
    <row r="160" spans="1:34" ht="14.4" hidden="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row>
    <row r="161" spans="1:34" ht="14.4" hidden="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row>
    <row r="162" spans="1:34" ht="14.4" hidden="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row>
    <row r="163" spans="1:34" ht="14.4" hidden="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row>
    <row r="164" spans="1:34" ht="14.4" hidden="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row>
    <row r="165" spans="1:34" ht="14.4" hidden="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row>
    <row r="166" spans="1:34" ht="14.4" hidden="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row>
    <row r="167" spans="1:34" ht="14.4" hidden="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row>
    <row r="168" spans="1:34" ht="14.4" hidden="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row>
    <row r="169" spans="1:34" ht="14.4" hidden="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row>
    <row r="170" spans="1:34" ht="14.4" hidden="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row>
    <row r="171" spans="1:34" ht="14.4" hidden="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row>
    <row r="172" spans="1:34" ht="14.4" hidden="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row>
    <row r="173" spans="1:34" ht="14.4" hidden="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row>
    <row r="174" spans="1:34" ht="14.4" hidden="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row>
    <row r="175" spans="1:34" ht="14.4" hidden="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row>
    <row r="176" spans="1:34" ht="14.4" hidden="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row>
    <row r="177" spans="1:34" ht="14.4" hidden="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row>
    <row r="178" spans="1:34" ht="14.4" hidden="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row>
    <row r="179" spans="1:34" ht="14.4" hidden="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row>
    <row r="180" spans="1:34" ht="14.4" hidden="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row>
    <row r="181" spans="1:34" ht="14.4" hidden="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row>
    <row r="182" spans="1:34" ht="14.4" hidden="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row>
    <row r="183" spans="1:34" ht="14.4" hidden="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row>
    <row r="184" spans="1:34" ht="14.4" hidden="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row>
    <row r="185" spans="1:34" ht="14.4" hidden="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row>
    <row r="186" spans="1:34" ht="14.4" hidden="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row>
    <row r="187" spans="1:34" ht="14.4" hidden="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row>
    <row r="188" spans="1:34" ht="14.4" hidden="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row>
    <row r="189" spans="1:34" ht="14.4" hidden="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row>
    <row r="190" spans="1:34" ht="14.4" hidden="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row>
    <row r="191" spans="1:34" ht="14.4" hidden="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row>
    <row r="192" spans="1:34" ht="14.4" hidden="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row>
    <row r="193" spans="1:34" ht="14.4" hidden="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row>
    <row r="194" spans="1:34" ht="14.4" hidden="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row>
    <row r="195" spans="1:34" ht="14.4" hidden="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row>
    <row r="196" spans="1:34" ht="14.4" hidden="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row>
    <row r="197" spans="1:34" ht="14.4" hidden="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row>
    <row r="198" spans="1:34" ht="14.4" hidden="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row>
    <row r="199" spans="1:34" ht="14.4" hidden="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row>
    <row r="200" spans="1:34" ht="14.4" hidden="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row>
    <row r="201" spans="1:34" ht="14.4" hidden="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row>
    <row r="202" spans="1:34" ht="14.4" hidden="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row>
    <row r="203" spans="1:34" ht="14.4" hidden="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row>
    <row r="204" spans="1:34" ht="14.4" hidden="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row>
    <row r="205" spans="1:34" ht="14.4" hidden="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row>
    <row r="206" spans="1:34" ht="14.4" hidden="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row>
    <row r="207" spans="1:34" ht="14.4" hidden="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row>
    <row r="208" spans="1:34" ht="14.4" hidden="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row>
    <row r="209" spans="1:34" ht="14.4" hidden="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row>
    <row r="210" spans="1:34" ht="14.4" hidden="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row>
    <row r="211" spans="1:34" ht="14.4" hidden="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row>
    <row r="212" spans="1:34" ht="14.4" hidden="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row>
    <row r="213" spans="1:34" ht="14.4" hidden="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row>
    <row r="214" spans="1:34" ht="14.4" hidden="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row>
    <row r="215" spans="1:34" ht="14.4" hidden="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row>
    <row r="216" spans="1:34" ht="14.4" hidden="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row>
    <row r="217" spans="1:34" ht="14.4" hidden="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row>
    <row r="218" spans="1:34" ht="14.4" hidden="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row>
    <row r="219" spans="1:34" ht="14.4" hidden="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row>
    <row r="220" spans="1:34" ht="14.4" hidden="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row>
    <row r="221" spans="1:34" ht="14.4" hidden="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row>
    <row r="222" spans="1:34" ht="14.4" hidden="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row>
    <row r="223" spans="1:34" ht="14.4" hidden="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row>
    <row r="224" spans="1:34" ht="14.4" hidden="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row>
    <row r="225" spans="1:34" ht="14.4" hidden="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row>
    <row r="226" spans="1:34" ht="14.4" hidden="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row>
    <row r="227" spans="1:34" ht="14.4" hidden="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row>
    <row r="228" spans="1:34" ht="14.4" hidden="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row>
    <row r="229" spans="1:34" ht="14.4" hidden="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row>
    <row r="230" spans="1:34" ht="14.4" hidden="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row>
    <row r="231" spans="1:34" ht="14.4" hidden="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row>
    <row r="232" spans="1:34" ht="14.4" hidden="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row>
    <row r="233" spans="1:34" ht="14.4" hidden="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row>
    <row r="234" spans="1:34" ht="14.4" hidden="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row>
    <row r="235" spans="1:34" ht="14.4" hidden="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row>
    <row r="236" spans="1:34" ht="14.4" hidden="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row>
    <row r="237" spans="1:34" ht="14.4" hidden="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row>
    <row r="238" spans="1:34" ht="14.4" hidden="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row>
    <row r="239" spans="1:34" ht="14.4" hidden="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row>
    <row r="240" spans="1:34" ht="14.4" hidden="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row>
    <row r="241" spans="1:34" ht="14.4" hidden="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row>
    <row r="242" spans="1:34" ht="14.4" hidden="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row>
    <row r="243" spans="1:34" ht="14.4" hidden="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row>
    <row r="244" spans="1:34" ht="14.4" hidden="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row>
    <row r="245" spans="1:34" ht="14.4" hidden="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row>
    <row r="246" spans="1:34" ht="14.4" hidden="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row>
    <row r="247" spans="1:34" ht="14.4" hidden="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row>
    <row r="248" spans="1:34" ht="14.4" hidden="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row>
    <row r="249" spans="1:34" ht="14.4" hidden="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row>
    <row r="250" spans="1:34" ht="14.4" hidden="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row>
    <row r="251" spans="1:34" ht="14.4" hidden="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row>
    <row r="252" spans="1:34" ht="14.4" hidden="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row>
    <row r="253" spans="1:34" ht="14.4" hidden="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row>
    <row r="254" spans="1:34" ht="14.4" hidden="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row>
    <row r="255" spans="1:34" ht="14.4" hidden="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row>
    <row r="256" spans="1:34" ht="14.4" hidden="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row>
    <row r="257" spans="1:34" ht="14.4" hidden="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row>
    <row r="258" spans="1:34" ht="14.4" hidden="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row>
    <row r="259" spans="1:34" ht="14.4" hidden="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row>
    <row r="260" spans="1:34" ht="14.4" hidden="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row>
    <row r="261" spans="1:34" ht="14.4" hidden="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row>
    <row r="262" spans="1:34" ht="14.4" hidden="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row>
    <row r="263" spans="1:34" ht="14.4" hidden="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row>
    <row r="264" spans="1:34" ht="14.4" hidden="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row>
    <row r="265" spans="1:34" ht="14.4" hidden="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row>
    <row r="266" spans="1:34" ht="14.4" hidden="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row>
    <row r="267" spans="1:34" ht="14.4" hidden="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row>
    <row r="268" spans="1:34" ht="14.4" hidden="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row>
    <row r="269" spans="1:34" ht="14.4" hidden="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row>
    <row r="270" spans="1:34" ht="14.4" hidden="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row>
    <row r="271" spans="1:34" ht="14.4" hidden="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row>
    <row r="272" spans="1:34" ht="14.4" hidden="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row>
    <row r="273" spans="1:34" ht="14.4" hidden="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row>
    <row r="274" spans="1:34" ht="14.4" hidden="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row>
    <row r="275" spans="1:34" ht="14.4" hidden="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row>
    <row r="276" spans="1:34" ht="14.4" hidden="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row>
    <row r="277" spans="1:34" ht="14.4" hidden="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row>
    <row r="278" spans="1:34" ht="14.4" hidden="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row>
    <row r="279" spans="1:34" ht="14.4" hidden="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row>
    <row r="280" spans="1:34" ht="14.4" hidden="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row>
    <row r="281" spans="1:34" ht="14.4" hidden="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row>
    <row r="282" spans="1:34" ht="14.4" hidden="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row>
    <row r="283" spans="1:34" ht="14.4" hidden="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row>
    <row r="284" spans="1:34" ht="14.4" hidden="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row>
    <row r="285" spans="1:34" ht="14.4" hidden="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row>
    <row r="286" spans="1:34" ht="14.4" hidden="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row>
    <row r="287" spans="1:34" ht="14.4" hidden="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row>
    <row r="288" spans="1:34" ht="14.4" hidden="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row>
    <row r="289" spans="1:34" ht="14.4" hidden="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row>
    <row r="290" spans="1:34" ht="14.4" hidden="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row>
    <row r="291" spans="1:34" ht="14.4" hidden="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row>
    <row r="292" spans="1:34" ht="14.4" hidden="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row>
    <row r="293" spans="1:34" ht="14.4" hidden="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row>
    <row r="294" spans="1:34" ht="14.4" hidden="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row>
    <row r="295" spans="1:34" ht="14.4" hidden="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row>
    <row r="296" spans="1:34" ht="14.4" hidden="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row>
    <row r="297" spans="1:34" ht="14.4" hidden="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row>
    <row r="298" spans="1:34" ht="14.4" hidden="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row>
    <row r="299" spans="1:34" ht="14.4" hidden="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row>
    <row r="300" spans="1:34" ht="14.4" hidden="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row>
    <row r="301" spans="1:34" ht="14.4" hidden="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row>
    <row r="302" spans="1:34" ht="14.4" hidden="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row>
    <row r="303" spans="1:34" ht="14.4" hidden="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row>
    <row r="304" spans="1:34" ht="14.4" hidden="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row>
    <row r="305" spans="1:34" ht="14.4" hidden="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row>
    <row r="306" spans="1:34" ht="14.4" hidden="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row>
    <row r="307" spans="1:34" ht="14.4" hidden="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row>
    <row r="308" spans="1:34" ht="14.4" hidden="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row>
    <row r="309" spans="1:34" ht="14.4" hidden="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row>
    <row r="310" spans="1:34" ht="14.4" hidden="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row>
    <row r="311" spans="1:34" ht="14.4" hidden="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row>
    <row r="312" spans="1:34" ht="14.4" hidden="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row>
    <row r="313" spans="1:34" ht="14.4" hidden="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row>
    <row r="314" spans="1:34" ht="14.4" hidden="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row>
    <row r="315" spans="1:34" ht="14.4" hidden="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row>
    <row r="316" spans="1:34" ht="14.4" hidden="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row>
    <row r="317" spans="1:34" ht="14.4" hidden="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row>
    <row r="318" spans="1:34" ht="14.4" hidden="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row>
    <row r="319" spans="1:34" ht="14.4" hidden="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row>
    <row r="320" spans="1:34" ht="14.4" hidden="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row>
    <row r="321" spans="1:34" ht="14.4" hidden="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row>
    <row r="322" spans="1:34" ht="14.4" hidden="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row>
    <row r="323" spans="1:34" ht="14.4" hidden="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row>
    <row r="324" spans="1:34" ht="14.4" hidden="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row>
    <row r="325" spans="1:34" ht="14.4" hidden="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row>
    <row r="326" spans="1:34" ht="14.4" hidden="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row>
    <row r="327" spans="1:34" ht="14.4" hidden="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row>
    <row r="328" spans="1:34" ht="14.4" hidden="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row>
    <row r="329" spans="1:34" ht="14.4" hidden="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row>
    <row r="330" spans="1:34" ht="14.4" hidden="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row>
    <row r="331" spans="1:34" ht="14.4" hidden="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row>
    <row r="332" spans="1:34" ht="14.4" hidden="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row>
    <row r="333" spans="1:34" ht="14.4" hidden="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row>
    <row r="334" spans="1:34" ht="14.4" hidden="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row>
    <row r="335" spans="1:34" ht="14.4" hidden="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row>
    <row r="336" spans="1:34" ht="14.4" hidden="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row>
    <row r="337" spans="1:34" ht="14.4" hidden="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row>
    <row r="338" spans="1:34" ht="14.4" hidden="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row>
    <row r="339" spans="1:34" ht="14.4" hidden="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row>
    <row r="340" spans="1:34" ht="14.4" hidden="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row>
    <row r="341" spans="1:34" ht="14.4" hidden="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row>
    <row r="342" spans="1:34" ht="14.4" hidden="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row>
    <row r="343" spans="1:34" ht="14.4" hidden="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row>
    <row r="344" spans="1:34" ht="14.4" hidden="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row>
    <row r="345" spans="1:34" ht="14.4" hidden="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row>
    <row r="346" spans="1:34" ht="14.4" hidden="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row>
    <row r="347" spans="1:34" ht="14.4" hidden="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row>
    <row r="348" spans="1:34" ht="14.4" hidden="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row>
    <row r="349" spans="1:34" ht="14.4" hidden="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row>
    <row r="350" spans="1:34" ht="14.4" hidden="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row>
    <row r="351" spans="1:34" ht="14.4" hidden="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row>
    <row r="352" spans="1:34" ht="14.4" hidden="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row>
    <row r="353" spans="1:34" ht="14.4" hidden="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row>
    <row r="354" spans="1:34" ht="14.4" hidden="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row>
    <row r="355" spans="1:34" ht="14.4" hidden="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row>
    <row r="356" spans="1:34" ht="14.4" hidden="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row>
    <row r="357" spans="1:34" ht="14.4" hidden="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row>
    <row r="358" spans="1:34" ht="14.4" hidden="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row>
    <row r="359" spans="1:34" ht="14.4" hidden="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row>
    <row r="360" spans="1:34" ht="14.4" hidden="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row>
    <row r="361" spans="1:34" ht="14.4" hidden="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row>
    <row r="362" spans="1:34" ht="14.4" hidden="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row>
    <row r="363" spans="1:34" ht="14.4" hidden="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row>
    <row r="364" spans="1:34" ht="14.4" hidden="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row>
    <row r="365" spans="1:34" ht="14.4" hidden="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row>
    <row r="366" spans="1:34" ht="14.4" hidden="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row>
    <row r="367" spans="1:34" ht="14.4" hidden="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row>
    <row r="368" spans="1:34" ht="14.4" hidden="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row>
    <row r="369" spans="1:34" ht="14.4" hidden="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row>
    <row r="370" spans="1:34" ht="14.4" hidden="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row>
    <row r="371" spans="1:34" ht="14.4" hidden="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row>
    <row r="372" spans="1:34" ht="14.4" hidden="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row>
    <row r="373" spans="1:34" ht="14.4" hidden="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row>
    <row r="374" spans="1:34" ht="14.4" hidden="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row>
    <row r="375" spans="1:34" ht="14.4" hidden="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row>
    <row r="376" spans="1:34" ht="14.4" hidden="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row>
    <row r="377" spans="1:34" ht="14.4" hidden="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row>
    <row r="378" spans="1:34" ht="14.4" hidden="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row>
    <row r="379" spans="1:34" ht="14.4" hidden="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row>
    <row r="380" spans="1:34" ht="14.4" hidden="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row>
    <row r="381" spans="1:34" ht="14.4" hidden="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row>
    <row r="382" spans="1:34" ht="14.4" hidden="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row>
    <row r="383" spans="1:34" ht="14.4" hidden="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row>
    <row r="384" spans="1:34" ht="14.4" hidden="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row>
    <row r="385" spans="1:34" ht="14.4" hidden="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row>
    <row r="386" spans="1:34" ht="14.4" hidden="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row>
    <row r="387" spans="1:34" ht="14.4" hidden="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row>
    <row r="388" spans="1:34" ht="14.4" hidden="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row>
    <row r="389" spans="1:34" ht="14.4" hidden="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row>
    <row r="390" spans="1:34" ht="14.4" hidden="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row>
    <row r="391" spans="1:34" ht="14.4" hidden="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row>
    <row r="392" spans="1:34" ht="14.4" hidden="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row>
    <row r="393" spans="1:34" ht="14.4" hidden="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row>
    <row r="394" spans="1:34" ht="14.4" hidden="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row>
    <row r="395" spans="1:34" ht="14.4" hidden="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row>
    <row r="396" spans="1:34" ht="14.4" hidden="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row>
    <row r="397" spans="1:34" ht="14.4" hidden="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row>
    <row r="398" spans="1:34" ht="14.4" hidden="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row>
    <row r="399" spans="1:34" ht="14.4" hidden="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row>
    <row r="400" spans="1:34" ht="14.4" hidden="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row>
    <row r="401" spans="1:34" ht="14.4" hidden="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row>
    <row r="402" spans="1:34" ht="14.4" hidden="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row>
    <row r="403" spans="1:34" ht="14.4" hidden="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row>
    <row r="404" spans="1:34" ht="14.4" hidden="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row>
    <row r="405" spans="1:34" ht="14.4" hidden="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row>
    <row r="406" spans="1:34" ht="14.4" hidden="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row>
    <row r="407" spans="1:34" ht="14.4" hidden="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row>
    <row r="408" spans="1:34" ht="14.4" hidden="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row>
    <row r="409" spans="1:34" ht="14.4" hidden="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row>
    <row r="410" spans="1:34" ht="14.4" hidden="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row>
    <row r="411" spans="1:34" ht="14.4" hidden="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row>
    <row r="412" spans="1:34" ht="14.4" hidden="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row>
    <row r="413" spans="1:34" ht="14.4" hidden="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row>
    <row r="414" spans="1:34" ht="14.4" hidden="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row>
    <row r="415" spans="1:34" ht="14.4" hidden="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row>
    <row r="416" spans="1:34" ht="14.4" hidden="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row>
    <row r="417" spans="1:34" ht="14.4" hidden="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row>
    <row r="418" spans="1:34" ht="14.4" hidden="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row>
    <row r="419" spans="1:34" ht="14.4" hidden="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row>
    <row r="420" spans="1:34" ht="14.4" hidden="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row>
    <row r="421" spans="1:34" ht="14.4" hidden="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row>
    <row r="422" spans="1:34" ht="14.4" hidden="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row>
    <row r="423" spans="1:34" ht="14.4" hidden="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row>
    <row r="424" spans="1:34" ht="14.4" hidden="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row>
    <row r="425" spans="1:34" ht="14.4" hidden="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row>
    <row r="426" spans="1:34" ht="14.4" hidden="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row>
    <row r="427" spans="1:34" ht="14.4" hidden="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row>
    <row r="428" spans="1:34" ht="14.4" hidden="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row>
    <row r="429" spans="1:34" ht="14.4" hidden="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row>
    <row r="430" spans="1:34" ht="14.4" hidden="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row>
    <row r="431" spans="1:34" ht="14.4" hidden="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row>
    <row r="432" spans="1:34" ht="14.4" hidden="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row>
    <row r="433" spans="1:34" ht="14.4" hidden="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row>
    <row r="434" spans="1:34" ht="14.4" hidden="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row>
    <row r="435" spans="1:34" ht="14.4" hidden="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row>
    <row r="436" spans="1:34" ht="14.4" hidden="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row>
    <row r="437" spans="1:34" ht="14.4" hidden="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row>
    <row r="438" spans="1:34" ht="14.4" hidden="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row>
    <row r="439" spans="1:34" ht="14.4" hidden="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row>
    <row r="440" spans="1:34" ht="14.4" hidden="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row>
    <row r="441" spans="1:34" ht="14.4" hidden="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row>
    <row r="442" spans="1:34" ht="14.4" hidden="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row>
    <row r="443" spans="1:34" ht="14.4" hidden="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row>
    <row r="444" spans="1:34" ht="14.4" hidden="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row>
    <row r="445" spans="1:34" ht="14.4" hidden="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row>
    <row r="446" spans="1:34" ht="14.4" hidden="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row>
    <row r="447" spans="1:34" ht="14.4" hidden="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row>
    <row r="448" spans="1:34" ht="14.4" hidden="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row>
    <row r="449" spans="1:34" ht="14.4" hidden="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row>
    <row r="450" spans="1:34" ht="14.4" hidden="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row>
    <row r="451" spans="1:34" ht="14.4" hidden="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row>
    <row r="452" spans="1:34" ht="14.4" hidden="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row>
    <row r="453" spans="1:34" ht="14.4" hidden="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row>
    <row r="454" spans="1:34" ht="14.4" hidden="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row>
    <row r="455" spans="1:34" ht="14.4" hidden="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row>
    <row r="456" spans="1:34" ht="14.4" hidden="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row>
    <row r="457" spans="1:34" ht="14.4" hidden="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row>
    <row r="458" spans="1:34" ht="14.4" hidden="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row>
    <row r="459" spans="1:34" ht="14.4" hidden="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row>
    <row r="460" spans="1:34" ht="14.4" hidden="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row>
    <row r="461" spans="1:34" ht="14.4" hidden="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row>
    <row r="462" spans="1:34" ht="14.4" hidden="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row>
    <row r="463" spans="1:34" ht="14.4" hidden="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row>
    <row r="464" spans="1:34" ht="14.4" hidden="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row>
    <row r="465" spans="1:34" ht="14.4" hidden="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row>
    <row r="466" spans="1:34" ht="14.4" hidden="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row>
    <row r="467" spans="1:34" ht="14.4" hidden="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row>
    <row r="468" spans="1:34" ht="14.4" hidden="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row>
    <row r="469" spans="1:34" ht="14.4" hidden="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row>
    <row r="470" spans="1:34" ht="14.4" hidden="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row>
    <row r="471" spans="1:34" ht="14.4" hidden="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row>
    <row r="472" spans="1:34" ht="14.4" hidden="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row>
    <row r="473" spans="1:34" ht="14.4" hidden="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row>
    <row r="474" spans="1:34" ht="14.4" hidden="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row>
    <row r="475" spans="1:34" ht="14.4" hidden="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row>
    <row r="476" spans="1:34" ht="14.4" hidden="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row>
    <row r="477" spans="1:34" ht="14.4" hidden="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row>
    <row r="478" spans="1:34" ht="14.4" hidden="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row>
    <row r="479" spans="1:34" ht="14.4" hidden="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row>
    <row r="480" spans="1:34" ht="14.4" hidden="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row>
    <row r="481" spans="1:34" ht="14.4" hidden="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row>
    <row r="482" spans="1:34" ht="14.4" hidden="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row>
    <row r="483" spans="1:34" ht="14.4" hidden="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row>
    <row r="484" spans="1:34" ht="14.4" hidden="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row>
    <row r="485" spans="1:34" ht="14.4" hidden="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row>
    <row r="486" spans="1:34" ht="14.4" hidden="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row>
    <row r="487" spans="1:34" ht="14.4" hidden="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row>
    <row r="488" spans="1:34" ht="14.4" hidden="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row>
    <row r="489" spans="1:34" ht="14.4" hidden="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row>
    <row r="490" spans="1:34" ht="14.4" hidden="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row>
    <row r="491" spans="1:34" ht="14.4" hidden="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row>
    <row r="492" spans="1:34" ht="14.4" hidden="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row>
    <row r="493" spans="1:34" ht="14.4" hidden="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row>
    <row r="494" spans="1:34" ht="14.4" hidden="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row>
    <row r="495" spans="1:34" ht="14.4" hidden="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row>
    <row r="496" spans="1:34" ht="14.4" hidden="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row>
    <row r="497" spans="1:34" ht="14.4" hidden="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row>
    <row r="498" spans="1:34" ht="14.4" hidden="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row>
    <row r="499" spans="1:34" ht="14.4" hidden="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row>
    <row r="500" spans="1:34" ht="14.4" hidden="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row>
    <row r="501" spans="1:34" ht="14.4" hidden="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row>
    <row r="502" spans="1:34" ht="14.4" hidden="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row>
    <row r="503" spans="1:34" ht="14.4" hidden="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row>
    <row r="504" spans="1:34" ht="14.4" hidden="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row>
    <row r="505" spans="1:34" ht="14.4" hidden="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row>
    <row r="506" spans="1:34" ht="14.4" hidden="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row>
    <row r="507" spans="1:34" ht="14.4" hidden="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row>
    <row r="508" spans="1:34" ht="14.4" hidden="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row>
    <row r="509" spans="1:34" ht="14.4" hidden="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row>
    <row r="510" spans="1:34" ht="14.4" hidden="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row>
    <row r="511" spans="1:34" ht="14.4" hidden="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row>
    <row r="512" spans="1:34" ht="14.4" hidden="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row>
    <row r="513" spans="1:34" ht="14.4" hidden="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row>
    <row r="514" spans="1:34" ht="14.4" hidden="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row>
    <row r="515" spans="1:34" ht="14.4" hidden="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row>
    <row r="516" spans="1:34" ht="14.4" hidden="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row>
    <row r="517" spans="1:34" ht="14.4" hidden="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row>
    <row r="518" spans="1:34" ht="14.4" hidden="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row>
    <row r="519" spans="1:34" ht="14.4" hidden="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row>
    <row r="520" spans="1:34" ht="14.4" hidden="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row>
    <row r="521" spans="1:34" ht="14.4" hidden="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row>
    <row r="522" spans="1:34" ht="14.4" hidden="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row>
    <row r="523" spans="1:34" ht="14.4" hidden="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row>
    <row r="524" spans="1:34" ht="14.4" hidden="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row>
    <row r="525" spans="1:34" ht="14.4" hidden="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row>
    <row r="526" spans="1:34" ht="14.4" hidden="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row>
    <row r="527" spans="1:34" ht="14.4" hidden="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row>
    <row r="528" spans="1:34" ht="14.4" hidden="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row>
    <row r="529" spans="1:34" ht="14.4" hidden="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row>
    <row r="530" spans="1:34" ht="14.4" hidden="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row>
    <row r="531" spans="1:34" ht="14.4" hidden="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row>
    <row r="532" spans="1:34" ht="14.4" hidden="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row>
    <row r="533" spans="1:34" ht="14.4" hidden="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row>
    <row r="534" spans="1:34" ht="14.4" hidden="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row>
    <row r="535" spans="1:34" ht="14.4" hidden="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row>
    <row r="536" spans="1:34" ht="14.4" hidden="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row>
    <row r="537" spans="1:34" ht="14.4" hidden="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row>
    <row r="538" spans="1:34" ht="14.4" hidden="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row>
    <row r="539" spans="1:34" ht="14.4" hidden="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row>
    <row r="540" spans="1:34" ht="14.4" hidden="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row>
    <row r="541" spans="1:34" ht="14.4" hidden="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row>
    <row r="542" spans="1:34" ht="14.4" hidden="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c r="AF542" s="66"/>
      <c r="AG542" s="66"/>
      <c r="AH542" s="66"/>
    </row>
    <row r="543" spans="1:34" ht="14.4" hidden="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c r="AE543" s="66"/>
      <c r="AF543" s="66"/>
      <c r="AG543" s="66"/>
      <c r="AH543" s="66"/>
    </row>
    <row r="544" spans="1:34" ht="14.4" hidden="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c r="AF544" s="66"/>
      <c r="AG544" s="66"/>
      <c r="AH544" s="66"/>
    </row>
    <row r="545" spans="1:34" ht="14.4" hidden="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c r="AF545" s="66"/>
      <c r="AG545" s="66"/>
      <c r="AH545" s="66"/>
    </row>
    <row r="546" spans="1:34" ht="14.4" hidden="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c r="AE546" s="66"/>
      <c r="AF546" s="66"/>
      <c r="AG546" s="66"/>
      <c r="AH546" s="66"/>
    </row>
    <row r="547" spans="1:34" ht="14.4" hidden="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c r="AE547" s="66"/>
      <c r="AF547" s="66"/>
      <c r="AG547" s="66"/>
      <c r="AH547" s="66"/>
    </row>
    <row r="548" spans="1:34" ht="14.4" hidden="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c r="AD548" s="66"/>
      <c r="AE548" s="66"/>
      <c r="AF548" s="66"/>
      <c r="AG548" s="66"/>
      <c r="AH548" s="66"/>
    </row>
    <row r="549" spans="1:34" ht="14.4" hidden="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c r="AD549" s="66"/>
      <c r="AE549" s="66"/>
      <c r="AF549" s="66"/>
      <c r="AG549" s="66"/>
      <c r="AH549" s="66"/>
    </row>
    <row r="550" spans="1:34" ht="14.4" hidden="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c r="AE550" s="66"/>
      <c r="AF550" s="66"/>
      <c r="AG550" s="66"/>
      <c r="AH550" s="66"/>
    </row>
    <row r="551" spans="1:34" ht="14.4" hidden="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c r="AE551" s="66"/>
      <c r="AF551" s="66"/>
      <c r="AG551" s="66"/>
      <c r="AH551" s="66"/>
    </row>
    <row r="552" spans="1:34" ht="14.4" hidden="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c r="AE552" s="66"/>
      <c r="AF552" s="66"/>
      <c r="AG552" s="66"/>
      <c r="AH552" s="66"/>
    </row>
    <row r="553" spans="1:34" ht="14.4" hidden="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c r="AF553" s="66"/>
      <c r="AG553" s="66"/>
      <c r="AH553" s="66"/>
    </row>
    <row r="554" spans="1:34" ht="14.4" hidden="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c r="AD554" s="66"/>
      <c r="AE554" s="66"/>
      <c r="AF554" s="66"/>
      <c r="AG554" s="66"/>
      <c r="AH554" s="66"/>
    </row>
    <row r="555" spans="1:34" ht="14.4" hidden="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c r="AD555" s="66"/>
      <c r="AE555" s="66"/>
      <c r="AF555" s="66"/>
      <c r="AG555" s="66"/>
      <c r="AH555" s="66"/>
    </row>
    <row r="556" spans="1:34" ht="14.4" hidden="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c r="AD556" s="66"/>
      <c r="AE556" s="66"/>
      <c r="AF556" s="66"/>
      <c r="AG556" s="66"/>
      <c r="AH556" s="66"/>
    </row>
    <row r="557" spans="1:34" ht="14.4" hidden="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c r="AD557" s="66"/>
      <c r="AE557" s="66"/>
      <c r="AF557" s="66"/>
      <c r="AG557" s="66"/>
      <c r="AH557" s="66"/>
    </row>
    <row r="558" spans="1:34" ht="14.4" hidden="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c r="AD558" s="66"/>
      <c r="AE558" s="66"/>
      <c r="AF558" s="66"/>
      <c r="AG558" s="66"/>
      <c r="AH558" s="66"/>
    </row>
    <row r="559" spans="1:34" ht="14.4" hidden="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c r="AD559" s="66"/>
      <c r="AE559" s="66"/>
      <c r="AF559" s="66"/>
      <c r="AG559" s="66"/>
      <c r="AH559" s="66"/>
    </row>
    <row r="560" spans="1:34" ht="14.4" hidden="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c r="AD560" s="66"/>
      <c r="AE560" s="66"/>
      <c r="AF560" s="66"/>
      <c r="AG560" s="66"/>
      <c r="AH560" s="66"/>
    </row>
    <row r="561" spans="1:34" ht="14.4" hidden="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c r="AD561" s="66"/>
      <c r="AE561" s="66"/>
      <c r="AF561" s="66"/>
      <c r="AG561" s="66"/>
      <c r="AH561" s="66"/>
    </row>
    <row r="562" spans="1:34" ht="14.4" hidden="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c r="AD562" s="66"/>
      <c r="AE562" s="66"/>
      <c r="AF562" s="66"/>
      <c r="AG562" s="66"/>
      <c r="AH562" s="66"/>
    </row>
    <row r="563" spans="1:34" ht="14.4" hidden="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c r="AD563" s="66"/>
      <c r="AE563" s="66"/>
      <c r="AF563" s="66"/>
      <c r="AG563" s="66"/>
      <c r="AH563" s="66"/>
    </row>
    <row r="564" spans="1:34" ht="14.4" hidden="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c r="AD564" s="66"/>
      <c r="AE564" s="66"/>
      <c r="AF564" s="66"/>
      <c r="AG564" s="66"/>
      <c r="AH564" s="66"/>
    </row>
    <row r="565" spans="1:34" ht="14.4" hidden="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c r="AD565" s="66"/>
      <c r="AE565" s="66"/>
      <c r="AF565" s="66"/>
      <c r="AG565" s="66"/>
      <c r="AH565" s="66"/>
    </row>
    <row r="566" spans="1:34" ht="14.4" hidden="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c r="AD566" s="66"/>
      <c r="AE566" s="66"/>
      <c r="AF566" s="66"/>
      <c r="AG566" s="66"/>
      <c r="AH566" s="66"/>
    </row>
    <row r="567" spans="1:34" ht="14.4" hidden="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c r="AD567" s="66"/>
      <c r="AE567" s="66"/>
      <c r="AF567" s="66"/>
      <c r="AG567" s="66"/>
      <c r="AH567" s="66"/>
    </row>
    <row r="568" spans="1:34" ht="14.4" hidden="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c r="AD568" s="66"/>
      <c r="AE568" s="66"/>
      <c r="AF568" s="66"/>
      <c r="AG568" s="66"/>
      <c r="AH568" s="66"/>
    </row>
    <row r="569" spans="1:34" ht="14.4" hidden="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c r="AD569" s="66"/>
      <c r="AE569" s="66"/>
      <c r="AF569" s="66"/>
      <c r="AG569" s="66"/>
      <c r="AH569" s="66"/>
    </row>
    <row r="570" spans="1:34" ht="14.4" hidden="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c r="AD570" s="66"/>
      <c r="AE570" s="66"/>
      <c r="AF570" s="66"/>
      <c r="AG570" s="66"/>
      <c r="AH570" s="66"/>
    </row>
    <row r="571" spans="1:34" ht="14.4" hidden="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c r="AD571" s="66"/>
      <c r="AE571" s="66"/>
      <c r="AF571" s="66"/>
      <c r="AG571" s="66"/>
      <c r="AH571" s="66"/>
    </row>
    <row r="572" spans="1:34" ht="14.4" hidden="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c r="AD572" s="66"/>
      <c r="AE572" s="66"/>
      <c r="AF572" s="66"/>
      <c r="AG572" s="66"/>
      <c r="AH572" s="66"/>
    </row>
    <row r="573" spans="1:34" ht="14.4" hidden="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c r="AD573" s="66"/>
      <c r="AE573" s="66"/>
      <c r="AF573" s="66"/>
      <c r="AG573" s="66"/>
      <c r="AH573" s="66"/>
    </row>
    <row r="574" spans="1:34" ht="14.4" hidden="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c r="AD574" s="66"/>
      <c r="AE574" s="66"/>
      <c r="AF574" s="66"/>
      <c r="AG574" s="66"/>
      <c r="AH574" s="66"/>
    </row>
    <row r="575" spans="1:34" ht="14.4" hidden="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c r="AD575" s="66"/>
      <c r="AE575" s="66"/>
      <c r="AF575" s="66"/>
      <c r="AG575" s="66"/>
      <c r="AH575" s="66"/>
    </row>
    <row r="576" spans="1:34" ht="14.4" hidden="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c r="AD576" s="66"/>
      <c r="AE576" s="66"/>
      <c r="AF576" s="66"/>
      <c r="AG576" s="66"/>
      <c r="AH576" s="66"/>
    </row>
    <row r="577" spans="1:34" ht="14.4" hidden="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c r="AE577" s="66"/>
      <c r="AF577" s="66"/>
      <c r="AG577" s="66"/>
      <c r="AH577" s="66"/>
    </row>
    <row r="578" spans="1:34" ht="14.4" hidden="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c r="AE578" s="66"/>
      <c r="AF578" s="66"/>
      <c r="AG578" s="66"/>
      <c r="AH578" s="66"/>
    </row>
    <row r="579" spans="1:34" ht="14.4" hidden="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c r="AD579" s="66"/>
      <c r="AE579" s="66"/>
      <c r="AF579" s="66"/>
      <c r="AG579" s="66"/>
      <c r="AH579" s="66"/>
    </row>
    <row r="580" spans="1:34" ht="14.4" hidden="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c r="AE580" s="66"/>
      <c r="AF580" s="66"/>
      <c r="AG580" s="66"/>
      <c r="AH580" s="66"/>
    </row>
    <row r="581" spans="1:34" ht="14.4" hidden="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c r="AF581" s="66"/>
      <c r="AG581" s="66"/>
      <c r="AH581" s="66"/>
    </row>
    <row r="582" spans="1:34" ht="14.4" hidden="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c r="AD582" s="66"/>
      <c r="AE582" s="66"/>
      <c r="AF582" s="66"/>
      <c r="AG582" s="66"/>
      <c r="AH582" s="66"/>
    </row>
    <row r="583" spans="1:34" ht="14.4" hidden="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c r="AE583" s="66"/>
      <c r="AF583" s="66"/>
      <c r="AG583" s="66"/>
      <c r="AH583" s="66"/>
    </row>
    <row r="584" spans="1:34" ht="14.4" hidden="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c r="AE584" s="66"/>
      <c r="AF584" s="66"/>
      <c r="AG584" s="66"/>
      <c r="AH584" s="66"/>
    </row>
    <row r="585" spans="1:34" ht="14.4" hidden="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c r="AD585" s="66"/>
      <c r="AE585" s="66"/>
      <c r="AF585" s="66"/>
      <c r="AG585" s="66"/>
      <c r="AH585" s="66"/>
    </row>
    <row r="586" spans="1:34" ht="14.4" hidden="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c r="AD586" s="66"/>
      <c r="AE586" s="66"/>
      <c r="AF586" s="66"/>
      <c r="AG586" s="66"/>
      <c r="AH586" s="66"/>
    </row>
    <row r="587" spans="1:34" ht="14.4" hidden="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c r="AD587" s="66"/>
      <c r="AE587" s="66"/>
      <c r="AF587" s="66"/>
      <c r="AG587" s="66"/>
      <c r="AH587" s="66"/>
    </row>
    <row r="588" spans="1:34" ht="14.4" hidden="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c r="AD588" s="66"/>
      <c r="AE588" s="66"/>
      <c r="AF588" s="66"/>
      <c r="AG588" s="66"/>
      <c r="AH588" s="66"/>
    </row>
    <row r="589" spans="1:34" ht="14.4" hidden="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c r="AE589" s="66"/>
      <c r="AF589" s="66"/>
      <c r="AG589" s="66"/>
      <c r="AH589" s="66"/>
    </row>
    <row r="590" spans="1:34" ht="14.4" hidden="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c r="AE590" s="66"/>
      <c r="AF590" s="66"/>
      <c r="AG590" s="66"/>
      <c r="AH590" s="66"/>
    </row>
    <row r="591" spans="1:34" ht="14.4" hidden="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c r="AD591" s="66"/>
      <c r="AE591" s="66"/>
      <c r="AF591" s="66"/>
      <c r="AG591" s="66"/>
      <c r="AH591" s="66"/>
    </row>
    <row r="592" spans="1:34" ht="14.4" hidden="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c r="AE592" s="66"/>
      <c r="AF592" s="66"/>
      <c r="AG592" s="66"/>
      <c r="AH592" s="66"/>
    </row>
    <row r="593" spans="1:34" ht="14.4" hidden="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c r="AE593" s="66"/>
      <c r="AF593" s="66"/>
      <c r="AG593" s="66"/>
      <c r="AH593" s="66"/>
    </row>
    <row r="594" spans="1:34" ht="14.4" hidden="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c r="AD594" s="66"/>
      <c r="AE594" s="66"/>
      <c r="AF594" s="66"/>
      <c r="AG594" s="66"/>
      <c r="AH594" s="66"/>
    </row>
    <row r="595" spans="1:34" ht="14.4" hidden="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c r="AE595" s="66"/>
      <c r="AF595" s="66"/>
      <c r="AG595" s="66"/>
      <c r="AH595" s="66"/>
    </row>
    <row r="596" spans="1:34" ht="14.4" hidden="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c r="AE596" s="66"/>
      <c r="AF596" s="66"/>
      <c r="AG596" s="66"/>
      <c r="AH596" s="66"/>
    </row>
    <row r="597" spans="1:34" ht="14.4" hidden="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c r="AD597" s="66"/>
      <c r="AE597" s="66"/>
      <c r="AF597" s="66"/>
      <c r="AG597" s="66"/>
      <c r="AH597" s="66"/>
    </row>
    <row r="598" spans="1:34" ht="14.4" hidden="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c r="AD598" s="66"/>
      <c r="AE598" s="66"/>
      <c r="AF598" s="66"/>
      <c r="AG598" s="66"/>
      <c r="AH598" s="66"/>
    </row>
    <row r="599" spans="1:34" ht="14.4" hidden="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c r="AD599" s="66"/>
      <c r="AE599" s="66"/>
      <c r="AF599" s="66"/>
      <c r="AG599" s="66"/>
      <c r="AH599" s="66"/>
    </row>
    <row r="600" spans="1:34" ht="14.4" hidden="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c r="AE600" s="66"/>
      <c r="AF600" s="66"/>
      <c r="AG600" s="66"/>
      <c r="AH600" s="66"/>
    </row>
    <row r="601" spans="1:34" ht="14.4" hidden="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c r="AD601" s="66"/>
      <c r="AE601" s="66"/>
      <c r="AF601" s="66"/>
      <c r="AG601" s="66"/>
      <c r="AH601" s="66"/>
    </row>
    <row r="602" spans="1:34" ht="14.4" hidden="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c r="AD602" s="66"/>
      <c r="AE602" s="66"/>
      <c r="AF602" s="66"/>
      <c r="AG602" s="66"/>
      <c r="AH602" s="66"/>
    </row>
    <row r="603" spans="1:34" ht="14.4" hidden="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c r="AD603" s="66"/>
      <c r="AE603" s="66"/>
      <c r="AF603" s="66"/>
      <c r="AG603" s="66"/>
      <c r="AH603" s="66"/>
    </row>
    <row r="604" spans="1:34" ht="14.4" hidden="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c r="AD604" s="66"/>
      <c r="AE604" s="66"/>
      <c r="AF604" s="66"/>
      <c r="AG604" s="66"/>
      <c r="AH604" s="66"/>
    </row>
    <row r="605" spans="1:34" ht="14.4" hidden="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c r="AD605" s="66"/>
      <c r="AE605" s="66"/>
      <c r="AF605" s="66"/>
      <c r="AG605" s="66"/>
      <c r="AH605" s="66"/>
    </row>
    <row r="606" spans="1:34" ht="14.4" hidden="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c r="AD606" s="66"/>
      <c r="AE606" s="66"/>
      <c r="AF606" s="66"/>
      <c r="AG606" s="66"/>
      <c r="AH606" s="66"/>
    </row>
    <row r="607" spans="1:34" ht="14.4" hidden="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c r="AD607" s="66"/>
      <c r="AE607" s="66"/>
      <c r="AF607" s="66"/>
      <c r="AG607" s="66"/>
      <c r="AH607" s="66"/>
    </row>
    <row r="608" spans="1:34" ht="14.4" hidden="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c r="AD608" s="66"/>
      <c r="AE608" s="66"/>
      <c r="AF608" s="66"/>
      <c r="AG608" s="66"/>
      <c r="AH608" s="66"/>
    </row>
    <row r="609" spans="1:34" ht="14.4" hidden="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c r="AD609" s="66"/>
      <c r="AE609" s="66"/>
      <c r="AF609" s="66"/>
      <c r="AG609" s="66"/>
      <c r="AH609" s="66"/>
    </row>
    <row r="610" spans="1:34" ht="14.4" hidden="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c r="AD610" s="66"/>
      <c r="AE610" s="66"/>
      <c r="AF610" s="66"/>
      <c r="AG610" s="66"/>
      <c r="AH610" s="66"/>
    </row>
    <row r="611" spans="1:34" ht="14.4" hidden="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c r="AD611" s="66"/>
      <c r="AE611" s="66"/>
      <c r="AF611" s="66"/>
      <c r="AG611" s="66"/>
      <c r="AH611" s="66"/>
    </row>
    <row r="612" spans="1:34" ht="14.4" hidden="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c r="AD612" s="66"/>
      <c r="AE612" s="66"/>
      <c r="AF612" s="66"/>
      <c r="AG612" s="66"/>
      <c r="AH612" s="66"/>
    </row>
    <row r="613" spans="1:34" ht="14.4" hidden="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c r="AD613" s="66"/>
      <c r="AE613" s="66"/>
      <c r="AF613" s="66"/>
      <c r="AG613" s="66"/>
      <c r="AH613" s="66"/>
    </row>
    <row r="614" spans="1:34" ht="14.4" hidden="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c r="AD614" s="66"/>
      <c r="AE614" s="66"/>
      <c r="AF614" s="66"/>
      <c r="AG614" s="66"/>
      <c r="AH614" s="66"/>
    </row>
    <row r="615" spans="1:34" ht="14.4" hidden="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c r="AD615" s="66"/>
      <c r="AE615" s="66"/>
      <c r="AF615" s="66"/>
      <c r="AG615" s="66"/>
      <c r="AH615" s="66"/>
    </row>
    <row r="616" spans="1:34" ht="14.4" hidden="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c r="AD616" s="66"/>
      <c r="AE616" s="66"/>
      <c r="AF616" s="66"/>
      <c r="AG616" s="66"/>
      <c r="AH616" s="66"/>
    </row>
    <row r="617" spans="1:34" ht="14.4" hidden="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c r="AD617" s="66"/>
      <c r="AE617" s="66"/>
      <c r="AF617" s="66"/>
      <c r="AG617" s="66"/>
      <c r="AH617" s="66"/>
    </row>
    <row r="618" spans="1:34" ht="14.4" hidden="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c r="AD618" s="66"/>
      <c r="AE618" s="66"/>
      <c r="AF618" s="66"/>
      <c r="AG618" s="66"/>
      <c r="AH618" s="66"/>
    </row>
    <row r="619" spans="1:34" ht="14.4" hidden="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c r="AD619" s="66"/>
      <c r="AE619" s="66"/>
      <c r="AF619" s="66"/>
      <c r="AG619" s="66"/>
      <c r="AH619" s="66"/>
    </row>
    <row r="620" spans="1:34" ht="14.4" hidden="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c r="AD620" s="66"/>
      <c r="AE620" s="66"/>
      <c r="AF620" s="66"/>
      <c r="AG620" s="66"/>
      <c r="AH620" s="66"/>
    </row>
    <row r="621" spans="1:34" ht="14.4" hidden="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c r="AD621" s="66"/>
      <c r="AE621" s="66"/>
      <c r="AF621" s="66"/>
      <c r="AG621" s="66"/>
      <c r="AH621" s="66"/>
    </row>
    <row r="622" spans="1:34" ht="14.4" hidden="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c r="AD622" s="66"/>
      <c r="AE622" s="66"/>
      <c r="AF622" s="66"/>
      <c r="AG622" s="66"/>
      <c r="AH622" s="66"/>
    </row>
    <row r="623" spans="1:34" ht="14.4" hidden="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c r="AD623" s="66"/>
      <c r="AE623" s="66"/>
      <c r="AF623" s="66"/>
      <c r="AG623" s="66"/>
      <c r="AH623" s="66"/>
    </row>
    <row r="624" spans="1:34" ht="14.4" hidden="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c r="AD624" s="66"/>
      <c r="AE624" s="66"/>
      <c r="AF624" s="66"/>
      <c r="AG624" s="66"/>
      <c r="AH624" s="66"/>
    </row>
    <row r="625" spans="1:34" ht="14.4" hidden="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c r="AD625" s="66"/>
      <c r="AE625" s="66"/>
      <c r="AF625" s="66"/>
      <c r="AG625" s="66"/>
      <c r="AH625" s="66"/>
    </row>
    <row r="626" spans="1:34" ht="14.4" hidden="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c r="AD626" s="66"/>
      <c r="AE626" s="66"/>
      <c r="AF626" s="66"/>
      <c r="AG626" s="66"/>
      <c r="AH626" s="66"/>
    </row>
    <row r="627" spans="1:34" ht="14.4" hidden="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c r="AD627" s="66"/>
      <c r="AE627" s="66"/>
      <c r="AF627" s="66"/>
      <c r="AG627" s="66"/>
      <c r="AH627" s="66"/>
    </row>
    <row r="628" spans="1:34" ht="14.4" hidden="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c r="AD628" s="66"/>
      <c r="AE628" s="66"/>
      <c r="AF628" s="66"/>
      <c r="AG628" s="66"/>
      <c r="AH628" s="66"/>
    </row>
    <row r="629" spans="1:34" ht="14.4" hidden="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c r="AD629" s="66"/>
      <c r="AE629" s="66"/>
      <c r="AF629" s="66"/>
      <c r="AG629" s="66"/>
      <c r="AH629" s="66"/>
    </row>
    <row r="630" spans="1:34" ht="14.4" hidden="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c r="AD630" s="66"/>
      <c r="AE630" s="66"/>
      <c r="AF630" s="66"/>
      <c r="AG630" s="66"/>
      <c r="AH630" s="66"/>
    </row>
    <row r="631" spans="1:34" ht="14.4" hidden="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c r="AD631" s="66"/>
      <c r="AE631" s="66"/>
      <c r="AF631" s="66"/>
      <c r="AG631" s="66"/>
      <c r="AH631" s="66"/>
    </row>
    <row r="632" spans="1:34" ht="14.4" hidden="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c r="AD632" s="66"/>
      <c r="AE632" s="66"/>
      <c r="AF632" s="66"/>
      <c r="AG632" s="66"/>
      <c r="AH632" s="66"/>
    </row>
    <row r="633" spans="1:34" ht="14.4" hidden="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c r="AD633" s="66"/>
      <c r="AE633" s="66"/>
      <c r="AF633" s="66"/>
      <c r="AG633" s="66"/>
      <c r="AH633" s="66"/>
    </row>
    <row r="634" spans="1:34" ht="14.4" hidden="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c r="AD634" s="66"/>
      <c r="AE634" s="66"/>
      <c r="AF634" s="66"/>
      <c r="AG634" s="66"/>
      <c r="AH634" s="66"/>
    </row>
    <row r="635" spans="1:34" ht="14.4" hidden="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c r="AD635" s="66"/>
      <c r="AE635" s="66"/>
      <c r="AF635" s="66"/>
      <c r="AG635" s="66"/>
      <c r="AH635" s="66"/>
    </row>
    <row r="636" spans="1:34" ht="14.4" hidden="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c r="AD636" s="66"/>
      <c r="AE636" s="66"/>
      <c r="AF636" s="66"/>
      <c r="AG636" s="66"/>
      <c r="AH636" s="66"/>
    </row>
    <row r="637" spans="1:34" ht="14.4" hidden="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c r="AD637" s="66"/>
      <c r="AE637" s="66"/>
      <c r="AF637" s="66"/>
      <c r="AG637" s="66"/>
      <c r="AH637" s="66"/>
    </row>
    <row r="638" spans="1:34" ht="14.4" hidden="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c r="AD638" s="66"/>
      <c r="AE638" s="66"/>
      <c r="AF638" s="66"/>
      <c r="AG638" s="66"/>
      <c r="AH638" s="66"/>
    </row>
    <row r="639" spans="1:34" ht="14.4" hidden="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c r="AD639" s="66"/>
      <c r="AE639" s="66"/>
      <c r="AF639" s="66"/>
      <c r="AG639" s="66"/>
      <c r="AH639" s="66"/>
    </row>
    <row r="640" spans="1:34" ht="14.4" hidden="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c r="AD640" s="66"/>
      <c r="AE640" s="66"/>
      <c r="AF640" s="66"/>
      <c r="AG640" s="66"/>
      <c r="AH640" s="66"/>
    </row>
    <row r="641" spans="1:34" ht="14.4" hidden="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c r="AD641" s="66"/>
      <c r="AE641" s="66"/>
      <c r="AF641" s="66"/>
      <c r="AG641" s="66"/>
      <c r="AH641" s="66"/>
    </row>
    <row r="642" spans="1:34" ht="14.4" hidden="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c r="AD642" s="66"/>
      <c r="AE642" s="66"/>
      <c r="AF642" s="66"/>
      <c r="AG642" s="66"/>
      <c r="AH642" s="66"/>
    </row>
    <row r="643" spans="1:34" ht="14.4" hidden="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c r="AD643" s="66"/>
      <c r="AE643" s="66"/>
      <c r="AF643" s="66"/>
      <c r="AG643" s="66"/>
      <c r="AH643" s="66"/>
    </row>
    <row r="644" spans="1:34" ht="14.4" hidden="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c r="AD644" s="66"/>
      <c r="AE644" s="66"/>
      <c r="AF644" s="66"/>
      <c r="AG644" s="66"/>
      <c r="AH644" s="66"/>
    </row>
    <row r="645" spans="1:34" ht="14.4" hidden="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c r="AD645" s="66"/>
      <c r="AE645" s="66"/>
      <c r="AF645" s="66"/>
      <c r="AG645" s="66"/>
      <c r="AH645" s="66"/>
    </row>
    <row r="646" spans="1:34" ht="14.4" hidden="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c r="AD646" s="66"/>
      <c r="AE646" s="66"/>
      <c r="AF646" s="66"/>
      <c r="AG646" s="66"/>
      <c r="AH646" s="66"/>
    </row>
    <row r="647" spans="1:34" ht="14.4" hidden="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c r="AD647" s="66"/>
      <c r="AE647" s="66"/>
      <c r="AF647" s="66"/>
      <c r="AG647" s="66"/>
      <c r="AH647" s="66"/>
    </row>
    <row r="648" spans="1:34" ht="14.4" hidden="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c r="AD648" s="66"/>
      <c r="AE648" s="66"/>
      <c r="AF648" s="66"/>
      <c r="AG648" s="66"/>
      <c r="AH648" s="66"/>
    </row>
    <row r="649" spans="1:34" ht="14.4" hidden="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c r="AD649" s="66"/>
      <c r="AE649" s="66"/>
      <c r="AF649" s="66"/>
      <c r="AG649" s="66"/>
      <c r="AH649" s="66"/>
    </row>
    <row r="650" spans="1:34" ht="14.4" hidden="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c r="AD650" s="66"/>
      <c r="AE650" s="66"/>
      <c r="AF650" s="66"/>
      <c r="AG650" s="66"/>
      <c r="AH650" s="66"/>
    </row>
    <row r="651" spans="1:34" ht="14.4" hidden="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c r="AD651" s="66"/>
      <c r="AE651" s="66"/>
      <c r="AF651" s="66"/>
      <c r="AG651" s="66"/>
      <c r="AH651" s="66"/>
    </row>
    <row r="652" spans="1:34" ht="14.4" hidden="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c r="AD652" s="66"/>
      <c r="AE652" s="66"/>
      <c r="AF652" s="66"/>
      <c r="AG652" s="66"/>
      <c r="AH652" s="66"/>
    </row>
    <row r="653" spans="1:34" ht="14.4" hidden="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c r="AD653" s="66"/>
      <c r="AE653" s="66"/>
      <c r="AF653" s="66"/>
      <c r="AG653" s="66"/>
      <c r="AH653" s="66"/>
    </row>
    <row r="654" spans="1:34" ht="14.4" hidden="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c r="AD654" s="66"/>
      <c r="AE654" s="66"/>
      <c r="AF654" s="66"/>
      <c r="AG654" s="66"/>
      <c r="AH654" s="66"/>
    </row>
    <row r="655" spans="1:34" ht="14.4" hidden="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c r="AD655" s="66"/>
      <c r="AE655" s="66"/>
      <c r="AF655" s="66"/>
      <c r="AG655" s="66"/>
      <c r="AH655" s="66"/>
    </row>
    <row r="656" spans="1:34" ht="14.4" hidden="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c r="AD656" s="66"/>
      <c r="AE656" s="66"/>
      <c r="AF656" s="66"/>
      <c r="AG656" s="66"/>
      <c r="AH656" s="66"/>
    </row>
    <row r="657" spans="1:34" ht="14.4" hidden="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c r="AD657" s="66"/>
      <c r="AE657" s="66"/>
      <c r="AF657" s="66"/>
      <c r="AG657" s="66"/>
      <c r="AH657" s="66"/>
    </row>
    <row r="658" spans="1:34" ht="14.4" hidden="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c r="AD658" s="66"/>
      <c r="AE658" s="66"/>
      <c r="AF658" s="66"/>
      <c r="AG658" s="66"/>
      <c r="AH658" s="66"/>
    </row>
    <row r="659" spans="1:34" ht="14.4" hidden="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c r="AD659" s="66"/>
      <c r="AE659" s="66"/>
      <c r="AF659" s="66"/>
      <c r="AG659" s="66"/>
      <c r="AH659" s="66"/>
    </row>
    <row r="660" spans="1:34" ht="14.4" hidden="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c r="AD660" s="66"/>
      <c r="AE660" s="66"/>
      <c r="AF660" s="66"/>
      <c r="AG660" s="66"/>
      <c r="AH660" s="66"/>
    </row>
    <row r="661" spans="1:34" ht="14.4" hidden="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c r="AD661" s="66"/>
      <c r="AE661" s="66"/>
      <c r="AF661" s="66"/>
      <c r="AG661" s="66"/>
      <c r="AH661" s="66"/>
    </row>
    <row r="662" spans="1:34" ht="14.4" hidden="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c r="AD662" s="66"/>
      <c r="AE662" s="66"/>
      <c r="AF662" s="66"/>
      <c r="AG662" s="66"/>
      <c r="AH662" s="66"/>
    </row>
    <row r="663" spans="1:34" ht="14.4" hidden="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c r="AD663" s="66"/>
      <c r="AE663" s="66"/>
      <c r="AF663" s="66"/>
      <c r="AG663" s="66"/>
      <c r="AH663" s="66"/>
    </row>
    <row r="664" spans="1:34" ht="14.4" hidden="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c r="AD664" s="66"/>
      <c r="AE664" s="66"/>
      <c r="AF664" s="66"/>
      <c r="AG664" s="66"/>
      <c r="AH664" s="66"/>
    </row>
    <row r="665" spans="1:34" ht="14.4" hidden="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c r="AD665" s="66"/>
      <c r="AE665" s="66"/>
      <c r="AF665" s="66"/>
      <c r="AG665" s="66"/>
      <c r="AH665" s="66"/>
    </row>
    <row r="666" spans="1:34" ht="14.4" hidden="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c r="AD666" s="66"/>
      <c r="AE666" s="66"/>
      <c r="AF666" s="66"/>
      <c r="AG666" s="66"/>
      <c r="AH666" s="66"/>
    </row>
    <row r="667" spans="1:34" ht="14.4" hidden="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c r="AD667" s="66"/>
      <c r="AE667" s="66"/>
      <c r="AF667" s="66"/>
      <c r="AG667" s="66"/>
      <c r="AH667" s="66"/>
    </row>
    <row r="668" spans="1:34" ht="14.4" hidden="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c r="AD668" s="66"/>
      <c r="AE668" s="66"/>
      <c r="AF668" s="66"/>
      <c r="AG668" s="66"/>
      <c r="AH668" s="66"/>
    </row>
    <row r="669" spans="1:34" ht="14.4" hidden="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c r="AD669" s="66"/>
      <c r="AE669" s="66"/>
      <c r="AF669" s="66"/>
      <c r="AG669" s="66"/>
      <c r="AH669" s="66"/>
    </row>
    <row r="670" spans="1:34" ht="14.4" hidden="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c r="AD670" s="66"/>
      <c r="AE670" s="66"/>
      <c r="AF670" s="66"/>
      <c r="AG670" s="66"/>
      <c r="AH670" s="66"/>
    </row>
    <row r="671" spans="1:34" ht="14.4" hidden="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c r="AD671" s="66"/>
      <c r="AE671" s="66"/>
      <c r="AF671" s="66"/>
      <c r="AG671" s="66"/>
      <c r="AH671" s="66"/>
    </row>
    <row r="672" spans="1:34" ht="14.4" hidden="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c r="AD672" s="66"/>
      <c r="AE672" s="66"/>
      <c r="AF672" s="66"/>
      <c r="AG672" s="66"/>
      <c r="AH672" s="66"/>
    </row>
    <row r="673" spans="1:34" ht="14.4" hidden="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c r="AD673" s="66"/>
      <c r="AE673" s="66"/>
      <c r="AF673" s="66"/>
      <c r="AG673" s="66"/>
      <c r="AH673" s="66"/>
    </row>
    <row r="674" spans="1:34" ht="14.4" hidden="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c r="AD674" s="66"/>
      <c r="AE674" s="66"/>
      <c r="AF674" s="66"/>
      <c r="AG674" s="66"/>
      <c r="AH674" s="66"/>
    </row>
    <row r="675" spans="1:34" ht="14.4" hidden="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c r="AD675" s="66"/>
      <c r="AE675" s="66"/>
      <c r="AF675" s="66"/>
      <c r="AG675" s="66"/>
      <c r="AH675" s="66"/>
    </row>
    <row r="676" spans="1:34" ht="14.4" hidden="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c r="AD676" s="66"/>
      <c r="AE676" s="66"/>
      <c r="AF676" s="66"/>
      <c r="AG676" s="66"/>
      <c r="AH676" s="66"/>
    </row>
    <row r="677" spans="1:34" ht="14.4" hidden="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c r="AD677" s="66"/>
      <c r="AE677" s="66"/>
      <c r="AF677" s="66"/>
      <c r="AG677" s="66"/>
      <c r="AH677" s="66"/>
    </row>
    <row r="678" spans="1:34" ht="14.4" hidden="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c r="AD678" s="66"/>
      <c r="AE678" s="66"/>
      <c r="AF678" s="66"/>
      <c r="AG678" s="66"/>
      <c r="AH678" s="66"/>
    </row>
    <row r="679" spans="1:34" ht="14.4" hidden="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c r="AD679" s="66"/>
      <c r="AE679" s="66"/>
      <c r="AF679" s="66"/>
      <c r="AG679" s="66"/>
      <c r="AH679" s="66"/>
    </row>
    <row r="680" spans="1:34" ht="14.4" hidden="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c r="AD680" s="66"/>
      <c r="AE680" s="66"/>
      <c r="AF680" s="66"/>
      <c r="AG680" s="66"/>
      <c r="AH680" s="66"/>
    </row>
    <row r="681" spans="1:34" ht="14.4" hidden="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c r="AD681" s="66"/>
      <c r="AE681" s="66"/>
      <c r="AF681" s="66"/>
      <c r="AG681" s="66"/>
      <c r="AH681" s="66"/>
    </row>
    <row r="682" spans="1:34" ht="14.4" hidden="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c r="AD682" s="66"/>
      <c r="AE682" s="66"/>
      <c r="AF682" s="66"/>
      <c r="AG682" s="66"/>
      <c r="AH682" s="66"/>
    </row>
    <row r="683" spans="1:34" ht="14.4" hidden="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c r="AD683" s="66"/>
      <c r="AE683" s="66"/>
      <c r="AF683" s="66"/>
      <c r="AG683" s="66"/>
      <c r="AH683" s="66"/>
    </row>
    <row r="684" spans="1:34" ht="14.4" hidden="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c r="AD684" s="66"/>
      <c r="AE684" s="66"/>
      <c r="AF684" s="66"/>
      <c r="AG684" s="66"/>
      <c r="AH684" s="66"/>
    </row>
    <row r="685" spans="1:34" ht="14.4" hidden="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c r="AD685" s="66"/>
      <c r="AE685" s="66"/>
      <c r="AF685" s="66"/>
      <c r="AG685" s="66"/>
      <c r="AH685" s="66"/>
    </row>
    <row r="686" spans="1:34" ht="14.4" hidden="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c r="AD686" s="66"/>
      <c r="AE686" s="66"/>
      <c r="AF686" s="66"/>
      <c r="AG686" s="66"/>
      <c r="AH686" s="66"/>
    </row>
    <row r="687" spans="1:34" ht="14.4" hidden="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c r="AD687" s="66"/>
      <c r="AE687" s="66"/>
      <c r="AF687" s="66"/>
      <c r="AG687" s="66"/>
      <c r="AH687" s="66"/>
    </row>
    <row r="688" spans="1:34" ht="14.4" hidden="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c r="AD688" s="66"/>
      <c r="AE688" s="66"/>
      <c r="AF688" s="66"/>
      <c r="AG688" s="66"/>
      <c r="AH688" s="66"/>
    </row>
    <row r="689" spans="1:34" ht="14.4" hidden="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c r="AD689" s="66"/>
      <c r="AE689" s="66"/>
      <c r="AF689" s="66"/>
      <c r="AG689" s="66"/>
      <c r="AH689" s="66"/>
    </row>
    <row r="690" spans="1:34" ht="14.4" hidden="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c r="AD690" s="66"/>
      <c r="AE690" s="66"/>
      <c r="AF690" s="66"/>
      <c r="AG690" s="66"/>
      <c r="AH690" s="66"/>
    </row>
    <row r="691" spans="1:34" ht="14.4" hidden="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c r="AD691" s="66"/>
      <c r="AE691" s="66"/>
      <c r="AF691" s="66"/>
      <c r="AG691" s="66"/>
      <c r="AH691" s="66"/>
    </row>
    <row r="692" spans="1:34" ht="14.4" hidden="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c r="AD692" s="66"/>
      <c r="AE692" s="66"/>
      <c r="AF692" s="66"/>
      <c r="AG692" s="66"/>
      <c r="AH692" s="66"/>
    </row>
    <row r="693" spans="1:34" ht="14.4" hidden="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c r="AD693" s="66"/>
      <c r="AE693" s="66"/>
      <c r="AF693" s="66"/>
      <c r="AG693" s="66"/>
      <c r="AH693" s="66"/>
    </row>
    <row r="694" spans="1:34" ht="14.4" hidden="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c r="AD694" s="66"/>
      <c r="AE694" s="66"/>
      <c r="AF694" s="66"/>
      <c r="AG694" s="66"/>
      <c r="AH694" s="66"/>
    </row>
    <row r="695" spans="1:34" ht="14.4" hidden="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c r="AD695" s="66"/>
      <c r="AE695" s="66"/>
      <c r="AF695" s="66"/>
      <c r="AG695" s="66"/>
      <c r="AH695" s="66"/>
    </row>
    <row r="696" spans="1:34" ht="14.4" hidden="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c r="AD696" s="66"/>
      <c r="AE696" s="66"/>
      <c r="AF696" s="66"/>
      <c r="AG696" s="66"/>
      <c r="AH696" s="66"/>
    </row>
    <row r="697" spans="1:34" ht="14.4" hidden="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c r="AD697" s="66"/>
      <c r="AE697" s="66"/>
      <c r="AF697" s="66"/>
      <c r="AG697" s="66"/>
      <c r="AH697" s="66"/>
    </row>
    <row r="698" spans="1:34" ht="14.4" hidden="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c r="AD698" s="66"/>
      <c r="AE698" s="66"/>
      <c r="AF698" s="66"/>
      <c r="AG698" s="66"/>
      <c r="AH698" s="66"/>
    </row>
    <row r="699" spans="1:34" ht="14.4" hidden="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c r="AD699" s="66"/>
      <c r="AE699" s="66"/>
      <c r="AF699" s="66"/>
      <c r="AG699" s="66"/>
      <c r="AH699" s="66"/>
    </row>
    <row r="700" spans="1:34" ht="14.4" hidden="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c r="AD700" s="66"/>
      <c r="AE700" s="66"/>
      <c r="AF700" s="66"/>
      <c r="AG700" s="66"/>
      <c r="AH700" s="66"/>
    </row>
    <row r="701" spans="1:34" ht="14.4" hidden="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c r="AD701" s="66"/>
      <c r="AE701" s="66"/>
      <c r="AF701" s="66"/>
      <c r="AG701" s="66"/>
      <c r="AH701" s="66"/>
    </row>
    <row r="702" spans="1:34" ht="14.4" hidden="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c r="AD702" s="66"/>
      <c r="AE702" s="66"/>
      <c r="AF702" s="66"/>
      <c r="AG702" s="66"/>
      <c r="AH702" s="66"/>
    </row>
    <row r="703" spans="1:34" ht="14.4" hidden="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c r="AD703" s="66"/>
      <c r="AE703" s="66"/>
      <c r="AF703" s="66"/>
      <c r="AG703" s="66"/>
      <c r="AH703" s="66"/>
    </row>
    <row r="704" spans="1:34" ht="14.4" hidden="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c r="AD704" s="66"/>
      <c r="AE704" s="66"/>
      <c r="AF704" s="66"/>
      <c r="AG704" s="66"/>
      <c r="AH704" s="66"/>
    </row>
    <row r="705" spans="1:34" ht="14.4" hidden="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c r="AD705" s="66"/>
      <c r="AE705" s="66"/>
      <c r="AF705" s="66"/>
      <c r="AG705" s="66"/>
      <c r="AH705" s="66"/>
    </row>
    <row r="706" spans="1:34" ht="14.4" hidden="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c r="AD706" s="66"/>
      <c r="AE706" s="66"/>
      <c r="AF706" s="66"/>
      <c r="AG706" s="66"/>
      <c r="AH706" s="66"/>
    </row>
    <row r="707" spans="1:34" ht="14.4" hidden="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c r="AD707" s="66"/>
      <c r="AE707" s="66"/>
      <c r="AF707" s="66"/>
      <c r="AG707" s="66"/>
      <c r="AH707" s="66"/>
    </row>
    <row r="708" spans="1:34" ht="14.4" hidden="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c r="AD708" s="66"/>
      <c r="AE708" s="66"/>
      <c r="AF708" s="66"/>
      <c r="AG708" s="66"/>
      <c r="AH708" s="66"/>
    </row>
    <row r="709" spans="1:34" ht="14.4" hidden="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c r="AD709" s="66"/>
      <c r="AE709" s="66"/>
      <c r="AF709" s="66"/>
      <c r="AG709" s="66"/>
      <c r="AH709" s="66"/>
    </row>
    <row r="710" spans="1:34" ht="14.4" hidden="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c r="AD710" s="66"/>
      <c r="AE710" s="66"/>
      <c r="AF710" s="66"/>
      <c r="AG710" s="66"/>
      <c r="AH710" s="66"/>
    </row>
    <row r="711" spans="1:34" ht="14.4" hidden="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c r="AD711" s="66"/>
      <c r="AE711" s="66"/>
      <c r="AF711" s="66"/>
      <c r="AG711" s="66"/>
      <c r="AH711" s="66"/>
    </row>
    <row r="712" spans="1:34" ht="14.4" hidden="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c r="AD712" s="66"/>
      <c r="AE712" s="66"/>
      <c r="AF712" s="66"/>
      <c r="AG712" s="66"/>
      <c r="AH712" s="66"/>
    </row>
    <row r="713" spans="1:34" ht="14.4" hidden="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c r="AD713" s="66"/>
      <c r="AE713" s="66"/>
      <c r="AF713" s="66"/>
      <c r="AG713" s="66"/>
      <c r="AH713" s="66"/>
    </row>
    <row r="714" spans="1:34" ht="14.4" hidden="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c r="AD714" s="66"/>
      <c r="AE714" s="66"/>
      <c r="AF714" s="66"/>
      <c r="AG714" s="66"/>
      <c r="AH714" s="66"/>
    </row>
    <row r="715" spans="1:34" ht="14.4" hidden="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c r="AD715" s="66"/>
      <c r="AE715" s="66"/>
      <c r="AF715" s="66"/>
      <c r="AG715" s="66"/>
      <c r="AH715" s="66"/>
    </row>
    <row r="716" spans="1:34" ht="14.4" hidden="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c r="AD716" s="66"/>
      <c r="AE716" s="66"/>
      <c r="AF716" s="66"/>
      <c r="AG716" s="66"/>
      <c r="AH716" s="66"/>
    </row>
    <row r="717" spans="1:34" ht="14.4" hidden="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c r="AD717" s="66"/>
      <c r="AE717" s="66"/>
      <c r="AF717" s="66"/>
      <c r="AG717" s="66"/>
      <c r="AH717" s="66"/>
    </row>
    <row r="718" spans="1:34" ht="14.4" hidden="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c r="AD718" s="66"/>
      <c r="AE718" s="66"/>
      <c r="AF718" s="66"/>
      <c r="AG718" s="66"/>
      <c r="AH718" s="66"/>
    </row>
    <row r="719" spans="1:34" ht="14.4" hidden="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c r="AD719" s="66"/>
      <c r="AE719" s="66"/>
      <c r="AF719" s="66"/>
      <c r="AG719" s="66"/>
      <c r="AH719" s="66"/>
    </row>
    <row r="720" spans="1:34" ht="14.4" hidden="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c r="AD720" s="66"/>
      <c r="AE720" s="66"/>
      <c r="AF720" s="66"/>
      <c r="AG720" s="66"/>
      <c r="AH720" s="66"/>
    </row>
    <row r="721" spans="1:34" ht="14.4" hidden="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c r="AD721" s="66"/>
      <c r="AE721" s="66"/>
      <c r="AF721" s="66"/>
      <c r="AG721" s="66"/>
      <c r="AH721" s="66"/>
    </row>
    <row r="722" spans="1:34" ht="14.4" hidden="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c r="AD722" s="66"/>
      <c r="AE722" s="66"/>
      <c r="AF722" s="66"/>
      <c r="AG722" s="66"/>
      <c r="AH722" s="66"/>
    </row>
    <row r="723" spans="1:34" ht="14.4" hidden="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c r="AD723" s="66"/>
      <c r="AE723" s="66"/>
      <c r="AF723" s="66"/>
      <c r="AG723" s="66"/>
      <c r="AH723" s="66"/>
    </row>
    <row r="724" spans="1:34" ht="14.4" hidden="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c r="AD724" s="66"/>
      <c r="AE724" s="66"/>
      <c r="AF724" s="66"/>
      <c r="AG724" s="66"/>
      <c r="AH724" s="66"/>
    </row>
    <row r="725" spans="1:34" ht="14.4" hidden="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c r="AD725" s="66"/>
      <c r="AE725" s="66"/>
      <c r="AF725" s="66"/>
      <c r="AG725" s="66"/>
      <c r="AH725" s="66"/>
    </row>
    <row r="726" spans="1:34" ht="14.4" hidden="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c r="AD726" s="66"/>
      <c r="AE726" s="66"/>
      <c r="AF726" s="66"/>
      <c r="AG726" s="66"/>
      <c r="AH726" s="66"/>
    </row>
    <row r="727" spans="1:34" ht="14.4" hidden="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c r="AD727" s="66"/>
      <c r="AE727" s="66"/>
      <c r="AF727" s="66"/>
      <c r="AG727" s="66"/>
      <c r="AH727" s="66"/>
    </row>
    <row r="728" spans="1:34" ht="14.4" hidden="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c r="AD728" s="66"/>
      <c r="AE728" s="66"/>
      <c r="AF728" s="66"/>
      <c r="AG728" s="66"/>
      <c r="AH728" s="66"/>
    </row>
    <row r="729" spans="1:34" ht="14.4" hidden="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c r="AD729" s="66"/>
      <c r="AE729" s="66"/>
      <c r="AF729" s="66"/>
      <c r="AG729" s="66"/>
      <c r="AH729" s="66"/>
    </row>
    <row r="730" spans="1:34" ht="14.4" hidden="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c r="AD730" s="66"/>
      <c r="AE730" s="66"/>
      <c r="AF730" s="66"/>
      <c r="AG730" s="66"/>
      <c r="AH730" s="66"/>
    </row>
    <row r="731" spans="1:34" ht="14.4" hidden="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c r="AD731" s="66"/>
      <c r="AE731" s="66"/>
      <c r="AF731" s="66"/>
      <c r="AG731" s="66"/>
      <c r="AH731" s="66"/>
    </row>
    <row r="732" spans="1:34" ht="14.4" hidden="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c r="AD732" s="66"/>
      <c r="AE732" s="66"/>
      <c r="AF732" s="66"/>
      <c r="AG732" s="66"/>
      <c r="AH732" s="66"/>
    </row>
    <row r="733" spans="1:34" ht="14.4" hidden="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c r="AD733" s="66"/>
      <c r="AE733" s="66"/>
      <c r="AF733" s="66"/>
      <c r="AG733" s="66"/>
      <c r="AH733" s="66"/>
    </row>
    <row r="734" spans="1:34" ht="14.4" hidden="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c r="AD734" s="66"/>
      <c r="AE734" s="66"/>
      <c r="AF734" s="66"/>
      <c r="AG734" s="66"/>
      <c r="AH734" s="66"/>
    </row>
    <row r="735" spans="1:34" ht="14.4" hidden="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c r="AD735" s="66"/>
      <c r="AE735" s="66"/>
      <c r="AF735" s="66"/>
      <c r="AG735" s="66"/>
      <c r="AH735" s="66"/>
    </row>
    <row r="736" spans="1:34" ht="14.4" hidden="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c r="AD736" s="66"/>
      <c r="AE736" s="66"/>
      <c r="AF736" s="66"/>
      <c r="AG736" s="66"/>
      <c r="AH736" s="66"/>
    </row>
    <row r="737" spans="1:34" ht="14.4" hidden="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c r="AD737" s="66"/>
      <c r="AE737" s="66"/>
      <c r="AF737" s="66"/>
      <c r="AG737" s="66"/>
      <c r="AH737" s="66"/>
    </row>
    <row r="738" spans="1:34" ht="14.4" hidden="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c r="AD738" s="66"/>
      <c r="AE738" s="66"/>
      <c r="AF738" s="66"/>
      <c r="AG738" s="66"/>
      <c r="AH738" s="66"/>
    </row>
    <row r="739" spans="1:34" ht="14.4" hidden="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c r="AD739" s="66"/>
      <c r="AE739" s="66"/>
      <c r="AF739" s="66"/>
      <c r="AG739" s="66"/>
      <c r="AH739" s="66"/>
    </row>
    <row r="740" spans="1:34" ht="14.4" hidden="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c r="AD740" s="66"/>
      <c r="AE740" s="66"/>
      <c r="AF740" s="66"/>
      <c r="AG740" s="66"/>
      <c r="AH740" s="66"/>
    </row>
    <row r="741" spans="1:34" ht="14.4" hidden="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c r="AD741" s="66"/>
      <c r="AE741" s="66"/>
      <c r="AF741" s="66"/>
      <c r="AG741" s="66"/>
      <c r="AH741" s="66"/>
    </row>
    <row r="742" spans="1:34" ht="14.4" hidden="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c r="AD742" s="66"/>
      <c r="AE742" s="66"/>
      <c r="AF742" s="66"/>
      <c r="AG742" s="66"/>
      <c r="AH742" s="66"/>
    </row>
    <row r="743" spans="1:34" ht="14.4" hidden="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c r="AD743" s="66"/>
      <c r="AE743" s="66"/>
      <c r="AF743" s="66"/>
      <c r="AG743" s="66"/>
      <c r="AH743" s="66"/>
    </row>
    <row r="744" spans="1:34" ht="14.4" hidden="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c r="AD744" s="66"/>
      <c r="AE744" s="66"/>
      <c r="AF744" s="66"/>
      <c r="AG744" s="66"/>
      <c r="AH744" s="66"/>
    </row>
    <row r="745" spans="1:34" ht="14.4" hidden="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c r="AD745" s="66"/>
      <c r="AE745" s="66"/>
      <c r="AF745" s="66"/>
      <c r="AG745" s="66"/>
      <c r="AH745" s="66"/>
    </row>
    <row r="746" spans="1:34" ht="14.4" hidden="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c r="AD746" s="66"/>
      <c r="AE746" s="66"/>
      <c r="AF746" s="66"/>
      <c r="AG746" s="66"/>
      <c r="AH746" s="66"/>
    </row>
    <row r="747" spans="1:34" ht="14.4" hidden="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c r="AD747" s="66"/>
      <c r="AE747" s="66"/>
      <c r="AF747" s="66"/>
      <c r="AG747" s="66"/>
      <c r="AH747" s="66"/>
    </row>
    <row r="748" spans="1:34" ht="14.4" hidden="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c r="AD748" s="66"/>
      <c r="AE748" s="66"/>
      <c r="AF748" s="66"/>
      <c r="AG748" s="66"/>
      <c r="AH748" s="66"/>
    </row>
    <row r="749" spans="1:34" ht="14.4" hidden="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c r="AD749" s="66"/>
      <c r="AE749" s="66"/>
      <c r="AF749" s="66"/>
      <c r="AG749" s="66"/>
      <c r="AH749" s="66"/>
    </row>
    <row r="750" spans="1:34" ht="14.4" hidden="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c r="AD750" s="66"/>
      <c r="AE750" s="66"/>
      <c r="AF750" s="66"/>
      <c r="AG750" s="66"/>
      <c r="AH750" s="66"/>
    </row>
    <row r="751" spans="1:34" ht="14.4" hidden="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c r="AD751" s="66"/>
      <c r="AE751" s="66"/>
      <c r="AF751" s="66"/>
      <c r="AG751" s="66"/>
      <c r="AH751" s="66"/>
    </row>
    <row r="752" spans="1:34" ht="14.4" hidden="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c r="AD752" s="66"/>
      <c r="AE752" s="66"/>
      <c r="AF752" s="66"/>
      <c r="AG752" s="66"/>
      <c r="AH752" s="66"/>
    </row>
    <row r="753" spans="1:34" ht="14.4" hidden="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c r="AD753" s="66"/>
      <c r="AE753" s="66"/>
      <c r="AF753" s="66"/>
      <c r="AG753" s="66"/>
      <c r="AH753" s="66"/>
    </row>
    <row r="754" spans="1:34" ht="14.4" hidden="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c r="AD754" s="66"/>
      <c r="AE754" s="66"/>
      <c r="AF754" s="66"/>
      <c r="AG754" s="66"/>
      <c r="AH754" s="66"/>
    </row>
    <row r="755" spans="1:34" ht="14.4" hidden="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c r="AD755" s="66"/>
      <c r="AE755" s="66"/>
      <c r="AF755" s="66"/>
      <c r="AG755" s="66"/>
      <c r="AH755" s="66"/>
    </row>
    <row r="756" spans="1:34" ht="14.4" hidden="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c r="AD756" s="66"/>
      <c r="AE756" s="66"/>
      <c r="AF756" s="66"/>
      <c r="AG756" s="66"/>
      <c r="AH756" s="66"/>
    </row>
    <row r="757" spans="1:34" ht="14.4" hidden="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c r="AD757" s="66"/>
      <c r="AE757" s="66"/>
      <c r="AF757" s="66"/>
      <c r="AG757" s="66"/>
      <c r="AH757" s="66"/>
    </row>
    <row r="758" spans="1:34" ht="14.4" hidden="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c r="AD758" s="66"/>
      <c r="AE758" s="66"/>
      <c r="AF758" s="66"/>
      <c r="AG758" s="66"/>
      <c r="AH758" s="66"/>
    </row>
    <row r="759" spans="1:34" ht="14.4" hidden="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c r="AD759" s="66"/>
      <c r="AE759" s="66"/>
      <c r="AF759" s="66"/>
      <c r="AG759" s="66"/>
      <c r="AH759" s="66"/>
    </row>
    <row r="760" spans="1:34" ht="14.4" hidden="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c r="AD760" s="66"/>
      <c r="AE760" s="66"/>
      <c r="AF760" s="66"/>
      <c r="AG760" s="66"/>
      <c r="AH760" s="66"/>
    </row>
    <row r="761" spans="1:34" ht="14.4" hidden="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c r="AD761" s="66"/>
      <c r="AE761" s="66"/>
      <c r="AF761" s="66"/>
      <c r="AG761" s="66"/>
      <c r="AH761" s="66"/>
    </row>
    <row r="762" spans="1:34" ht="14.4" hidden="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c r="AD762" s="66"/>
      <c r="AE762" s="66"/>
      <c r="AF762" s="66"/>
      <c r="AG762" s="66"/>
      <c r="AH762" s="66"/>
    </row>
    <row r="763" spans="1:34" ht="14.4" hidden="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c r="AD763" s="66"/>
      <c r="AE763" s="66"/>
      <c r="AF763" s="66"/>
      <c r="AG763" s="66"/>
      <c r="AH763" s="66"/>
    </row>
    <row r="764" spans="1:34" ht="14.4" hidden="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c r="AD764" s="66"/>
      <c r="AE764" s="66"/>
      <c r="AF764" s="66"/>
      <c r="AG764" s="66"/>
      <c r="AH764" s="66"/>
    </row>
    <row r="765" spans="1:34" ht="14.4" hidden="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c r="AD765" s="66"/>
      <c r="AE765" s="66"/>
      <c r="AF765" s="66"/>
      <c r="AG765" s="66"/>
      <c r="AH765" s="66"/>
    </row>
    <row r="766" spans="1:34" ht="14.4" hidden="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c r="AD766" s="66"/>
      <c r="AE766" s="66"/>
      <c r="AF766" s="66"/>
      <c r="AG766" s="66"/>
      <c r="AH766" s="66"/>
    </row>
    <row r="767" spans="1:34" ht="14.4" hidden="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c r="AD767" s="66"/>
      <c r="AE767" s="66"/>
      <c r="AF767" s="66"/>
      <c r="AG767" s="66"/>
      <c r="AH767" s="66"/>
    </row>
    <row r="768" spans="1:34" ht="14.4" hidden="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c r="AD768" s="66"/>
      <c r="AE768" s="66"/>
      <c r="AF768" s="66"/>
      <c r="AG768" s="66"/>
      <c r="AH768" s="66"/>
    </row>
    <row r="769" spans="1:34" ht="14.4" hidden="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c r="AD769" s="66"/>
      <c r="AE769" s="66"/>
      <c r="AF769" s="66"/>
      <c r="AG769" s="66"/>
      <c r="AH769" s="66"/>
    </row>
    <row r="770" spans="1:34" ht="14.4" hidden="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c r="AD770" s="66"/>
      <c r="AE770" s="66"/>
      <c r="AF770" s="66"/>
      <c r="AG770" s="66"/>
      <c r="AH770" s="66"/>
    </row>
    <row r="771" spans="1:34" ht="14.4" hidden="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c r="AD771" s="66"/>
      <c r="AE771" s="66"/>
      <c r="AF771" s="66"/>
      <c r="AG771" s="66"/>
      <c r="AH771" s="66"/>
    </row>
    <row r="772" spans="1:34" ht="14.4" hidden="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c r="AD772" s="66"/>
      <c r="AE772" s="66"/>
      <c r="AF772" s="66"/>
      <c r="AG772" s="66"/>
      <c r="AH772" s="66"/>
    </row>
    <row r="773" spans="1:34" ht="14.4" hidden="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c r="AD773" s="66"/>
      <c r="AE773" s="66"/>
      <c r="AF773" s="66"/>
      <c r="AG773" s="66"/>
      <c r="AH773" s="66"/>
    </row>
    <row r="774" spans="1:34" ht="14.4" hidden="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c r="AD774" s="66"/>
      <c r="AE774" s="66"/>
      <c r="AF774" s="66"/>
      <c r="AG774" s="66"/>
      <c r="AH774" s="66"/>
    </row>
    <row r="775" spans="1:34" ht="14.4" hidden="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c r="AD775" s="66"/>
      <c r="AE775" s="66"/>
      <c r="AF775" s="66"/>
      <c r="AG775" s="66"/>
      <c r="AH775" s="66"/>
    </row>
    <row r="776" spans="1:34" ht="14.4" hidden="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c r="AD776" s="66"/>
      <c r="AE776" s="66"/>
      <c r="AF776" s="66"/>
      <c r="AG776" s="66"/>
      <c r="AH776" s="66"/>
    </row>
    <row r="777" spans="1:34" ht="14.4" hidden="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c r="AD777" s="66"/>
      <c r="AE777" s="66"/>
      <c r="AF777" s="66"/>
      <c r="AG777" s="66"/>
      <c r="AH777" s="66"/>
    </row>
    <row r="778" spans="1:34" ht="14.4" hidden="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c r="AD778" s="66"/>
      <c r="AE778" s="66"/>
      <c r="AF778" s="66"/>
      <c r="AG778" s="66"/>
      <c r="AH778" s="66"/>
    </row>
    <row r="779" spans="1:34" ht="14.4" hidden="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c r="AD779" s="66"/>
      <c r="AE779" s="66"/>
      <c r="AF779" s="66"/>
      <c r="AG779" s="66"/>
      <c r="AH779" s="66"/>
    </row>
    <row r="780" spans="1:34" ht="14.4" hidden="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c r="AD780" s="66"/>
      <c r="AE780" s="66"/>
      <c r="AF780" s="66"/>
      <c r="AG780" s="66"/>
      <c r="AH780" s="66"/>
    </row>
    <row r="781" spans="1:34" ht="14.4" hidden="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c r="AD781" s="66"/>
      <c r="AE781" s="66"/>
      <c r="AF781" s="66"/>
      <c r="AG781" s="66"/>
      <c r="AH781" s="66"/>
    </row>
    <row r="782" spans="1:34" ht="14.4" hidden="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c r="AD782" s="66"/>
      <c r="AE782" s="66"/>
      <c r="AF782" s="66"/>
      <c r="AG782" s="66"/>
      <c r="AH782" s="66"/>
    </row>
    <row r="783" spans="1:34" ht="14.4" hidden="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c r="AD783" s="66"/>
      <c r="AE783" s="66"/>
      <c r="AF783" s="66"/>
      <c r="AG783" s="66"/>
      <c r="AH783" s="66"/>
    </row>
    <row r="784" spans="1:34" ht="14.4" hidden="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c r="AD784" s="66"/>
      <c r="AE784" s="66"/>
      <c r="AF784" s="66"/>
      <c r="AG784" s="66"/>
      <c r="AH784" s="66"/>
    </row>
    <row r="785" spans="1:34" ht="14.4" hidden="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c r="AD785" s="66"/>
      <c r="AE785" s="66"/>
      <c r="AF785" s="66"/>
      <c r="AG785" s="66"/>
      <c r="AH785" s="66"/>
    </row>
    <row r="786" spans="1:34" ht="14.4" hidden="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c r="AD786" s="66"/>
      <c r="AE786" s="66"/>
      <c r="AF786" s="66"/>
      <c r="AG786" s="66"/>
      <c r="AH786" s="66"/>
    </row>
    <row r="787" spans="1:34" ht="14.4" hidden="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c r="AD787" s="66"/>
      <c r="AE787" s="66"/>
      <c r="AF787" s="66"/>
      <c r="AG787" s="66"/>
      <c r="AH787" s="66"/>
    </row>
    <row r="788" spans="1:34" ht="14.4" hidden="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c r="AE788" s="66"/>
      <c r="AF788" s="66"/>
      <c r="AG788" s="66"/>
      <c r="AH788" s="66"/>
    </row>
    <row r="789" spans="1:34" ht="14.4" hidden="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c r="AD789" s="66"/>
      <c r="AE789" s="66"/>
      <c r="AF789" s="66"/>
      <c r="AG789" s="66"/>
      <c r="AH789" s="66"/>
    </row>
    <row r="790" spans="1:34" ht="14.4" hidden="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c r="AD790" s="66"/>
      <c r="AE790" s="66"/>
      <c r="AF790" s="66"/>
      <c r="AG790" s="66"/>
      <c r="AH790" s="66"/>
    </row>
    <row r="791" spans="1:34" ht="14.4" hidden="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c r="AD791" s="66"/>
      <c r="AE791" s="66"/>
      <c r="AF791" s="66"/>
      <c r="AG791" s="66"/>
      <c r="AH791" s="66"/>
    </row>
    <row r="792" spans="1:34" ht="14.4" hidden="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c r="AD792" s="66"/>
      <c r="AE792" s="66"/>
      <c r="AF792" s="66"/>
      <c r="AG792" s="66"/>
      <c r="AH792" s="66"/>
    </row>
    <row r="793" spans="1:34" ht="14.4" hidden="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c r="AD793" s="66"/>
      <c r="AE793" s="66"/>
      <c r="AF793" s="66"/>
      <c r="AG793" s="66"/>
      <c r="AH793" s="66"/>
    </row>
    <row r="794" spans="1:34" ht="14.4" hidden="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c r="AD794" s="66"/>
      <c r="AE794" s="66"/>
      <c r="AF794" s="66"/>
      <c r="AG794" s="66"/>
      <c r="AH794" s="66"/>
    </row>
    <row r="795" spans="1:34" ht="14.4" hidden="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c r="AD795" s="66"/>
      <c r="AE795" s="66"/>
      <c r="AF795" s="66"/>
      <c r="AG795" s="66"/>
      <c r="AH795" s="66"/>
    </row>
    <row r="796" spans="1:34" ht="14.4" hidden="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c r="AD796" s="66"/>
      <c r="AE796" s="66"/>
      <c r="AF796" s="66"/>
      <c r="AG796" s="66"/>
      <c r="AH796" s="66"/>
    </row>
    <row r="797" spans="1:34" ht="14.4" hidden="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c r="AD797" s="66"/>
      <c r="AE797" s="66"/>
      <c r="AF797" s="66"/>
      <c r="AG797" s="66"/>
      <c r="AH797" s="66"/>
    </row>
    <row r="798" spans="1:34" ht="14.4" hidden="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c r="AD798" s="66"/>
      <c r="AE798" s="66"/>
      <c r="AF798" s="66"/>
      <c r="AG798" s="66"/>
      <c r="AH798" s="66"/>
    </row>
    <row r="799" spans="1:34" ht="14.4" hidden="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c r="AD799" s="66"/>
      <c r="AE799" s="66"/>
      <c r="AF799" s="66"/>
      <c r="AG799" s="66"/>
      <c r="AH799" s="66"/>
    </row>
    <row r="800" spans="1:34" ht="14.4" hidden="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c r="AD800" s="66"/>
      <c r="AE800" s="66"/>
      <c r="AF800" s="66"/>
      <c r="AG800" s="66"/>
      <c r="AH800" s="66"/>
    </row>
    <row r="801" spans="1:34" ht="14.4" hidden="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c r="AD801" s="66"/>
      <c r="AE801" s="66"/>
      <c r="AF801" s="66"/>
      <c r="AG801" s="66"/>
      <c r="AH801" s="66"/>
    </row>
    <row r="802" spans="1:34" ht="14.4" hidden="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c r="AD802" s="66"/>
      <c r="AE802" s="66"/>
      <c r="AF802" s="66"/>
      <c r="AG802" s="66"/>
      <c r="AH802" s="66"/>
    </row>
    <row r="803" spans="1:34" ht="14.4" hidden="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c r="AD803" s="66"/>
      <c r="AE803" s="66"/>
      <c r="AF803" s="66"/>
      <c r="AG803" s="66"/>
      <c r="AH803" s="66"/>
    </row>
    <row r="804" spans="1:34" ht="14.4" hidden="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c r="AD804" s="66"/>
      <c r="AE804" s="66"/>
      <c r="AF804" s="66"/>
      <c r="AG804" s="66"/>
      <c r="AH804" s="66"/>
    </row>
    <row r="805" spans="1:34" ht="14.4" hidden="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c r="AD805" s="66"/>
      <c r="AE805" s="66"/>
      <c r="AF805" s="66"/>
      <c r="AG805" s="66"/>
      <c r="AH805" s="66"/>
    </row>
    <row r="806" spans="1:34" ht="14.4" hidden="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c r="AD806" s="66"/>
      <c r="AE806" s="66"/>
      <c r="AF806" s="66"/>
      <c r="AG806" s="66"/>
      <c r="AH806" s="66"/>
    </row>
    <row r="807" spans="1:34" ht="14.4" hidden="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c r="AD807" s="66"/>
      <c r="AE807" s="66"/>
      <c r="AF807" s="66"/>
      <c r="AG807" s="66"/>
      <c r="AH807" s="66"/>
    </row>
    <row r="808" spans="1:34" ht="14.4" hidden="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c r="AD808" s="66"/>
      <c r="AE808" s="66"/>
      <c r="AF808" s="66"/>
      <c r="AG808" s="66"/>
      <c r="AH808" s="66"/>
    </row>
    <row r="809" spans="1:34" ht="14.4" hidden="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c r="AD809" s="66"/>
      <c r="AE809" s="66"/>
      <c r="AF809" s="66"/>
      <c r="AG809" s="66"/>
      <c r="AH809" s="66"/>
    </row>
    <row r="810" spans="1:34" ht="14.4" hidden="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c r="AD810" s="66"/>
      <c r="AE810" s="66"/>
      <c r="AF810" s="66"/>
      <c r="AG810" s="66"/>
      <c r="AH810" s="66"/>
    </row>
    <row r="811" spans="1:34" ht="14.4" hidden="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c r="AD811" s="66"/>
      <c r="AE811" s="66"/>
      <c r="AF811" s="66"/>
      <c r="AG811" s="66"/>
      <c r="AH811" s="66"/>
    </row>
    <row r="812" spans="1:34" ht="14.4" hidden="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c r="AD812" s="66"/>
      <c r="AE812" s="66"/>
      <c r="AF812" s="66"/>
      <c r="AG812" s="66"/>
      <c r="AH812" s="66"/>
    </row>
    <row r="813" spans="1:34" ht="14.4" hidden="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c r="AD813" s="66"/>
      <c r="AE813" s="66"/>
      <c r="AF813" s="66"/>
      <c r="AG813" s="66"/>
      <c r="AH813" s="66"/>
    </row>
    <row r="814" spans="1:34" ht="14.4" hidden="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c r="AD814" s="66"/>
      <c r="AE814" s="66"/>
      <c r="AF814" s="66"/>
      <c r="AG814" s="66"/>
      <c r="AH814" s="66"/>
    </row>
    <row r="815" spans="1:34" ht="14.4" hidden="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c r="AD815" s="66"/>
      <c r="AE815" s="66"/>
      <c r="AF815" s="66"/>
      <c r="AG815" s="66"/>
      <c r="AH815" s="66"/>
    </row>
    <row r="816" spans="1:34" ht="14.4" hidden="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c r="AD816" s="66"/>
      <c r="AE816" s="66"/>
      <c r="AF816" s="66"/>
      <c r="AG816" s="66"/>
      <c r="AH816" s="66"/>
    </row>
    <row r="817" spans="1:34" ht="14.4" hidden="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c r="AD817" s="66"/>
      <c r="AE817" s="66"/>
      <c r="AF817" s="66"/>
      <c r="AG817" s="66"/>
      <c r="AH817" s="66"/>
    </row>
    <row r="818" spans="1:34" ht="14.4" hidden="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c r="AD818" s="66"/>
      <c r="AE818" s="66"/>
      <c r="AF818" s="66"/>
      <c r="AG818" s="66"/>
      <c r="AH818" s="66"/>
    </row>
    <row r="819" spans="1:34" ht="14.4" hidden="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c r="AC819" s="66"/>
      <c r="AD819" s="66"/>
      <c r="AE819" s="66"/>
      <c r="AF819" s="66"/>
      <c r="AG819" s="66"/>
      <c r="AH819" s="66"/>
    </row>
    <row r="820" spans="1:34" ht="14.4" hidden="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c r="AC820" s="66"/>
      <c r="AD820" s="66"/>
      <c r="AE820" s="66"/>
      <c r="AF820" s="66"/>
      <c r="AG820" s="66"/>
      <c r="AH820" s="66"/>
    </row>
    <row r="821" spans="1:34" ht="14.4" hidden="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c r="AC821" s="66"/>
      <c r="AD821" s="66"/>
      <c r="AE821" s="66"/>
      <c r="AF821" s="66"/>
      <c r="AG821" s="66"/>
      <c r="AH821" s="66"/>
    </row>
    <row r="822" spans="1:34" ht="14.4" hidden="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c r="AC822" s="66"/>
      <c r="AD822" s="66"/>
      <c r="AE822" s="66"/>
      <c r="AF822" s="66"/>
      <c r="AG822" s="66"/>
      <c r="AH822" s="66"/>
    </row>
    <row r="823" spans="1:34" ht="14.4" hidden="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c r="AC823" s="66"/>
      <c r="AD823" s="66"/>
      <c r="AE823" s="66"/>
      <c r="AF823" s="66"/>
      <c r="AG823" s="66"/>
      <c r="AH823" s="66"/>
    </row>
    <row r="824" spans="1:34" ht="14.4" hidden="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c r="AC824" s="66"/>
      <c r="AD824" s="66"/>
      <c r="AE824" s="66"/>
      <c r="AF824" s="66"/>
      <c r="AG824" s="66"/>
      <c r="AH824" s="66"/>
    </row>
    <row r="825" spans="1:34" ht="14.4" hidden="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c r="AC825" s="66"/>
      <c r="AD825" s="66"/>
      <c r="AE825" s="66"/>
      <c r="AF825" s="66"/>
      <c r="AG825" s="66"/>
      <c r="AH825" s="66"/>
    </row>
    <row r="826" spans="1:34" ht="14.4" hidden="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c r="AC826" s="66"/>
      <c r="AD826" s="66"/>
      <c r="AE826" s="66"/>
      <c r="AF826" s="66"/>
      <c r="AG826" s="66"/>
      <c r="AH826" s="66"/>
    </row>
    <row r="827" spans="1:34" ht="14.4" hidden="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c r="AC827" s="66"/>
      <c r="AD827" s="66"/>
      <c r="AE827" s="66"/>
      <c r="AF827" s="66"/>
      <c r="AG827" s="66"/>
      <c r="AH827" s="66"/>
    </row>
    <row r="828" spans="1:34" ht="14.4" hidden="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c r="AC828" s="66"/>
      <c r="AD828" s="66"/>
      <c r="AE828" s="66"/>
      <c r="AF828" s="66"/>
      <c r="AG828" s="66"/>
      <c r="AH828" s="66"/>
    </row>
    <row r="829" spans="1:34" ht="14.4" hidden="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c r="AC829" s="66"/>
      <c r="AD829" s="66"/>
      <c r="AE829" s="66"/>
      <c r="AF829" s="66"/>
      <c r="AG829" s="66"/>
      <c r="AH829" s="66"/>
    </row>
    <row r="830" spans="1:34" ht="14.4" hidden="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c r="AC830" s="66"/>
      <c r="AD830" s="66"/>
      <c r="AE830" s="66"/>
      <c r="AF830" s="66"/>
      <c r="AG830" s="66"/>
      <c r="AH830" s="66"/>
    </row>
    <row r="831" spans="1:34" ht="14.4" hidden="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c r="AC831" s="66"/>
      <c r="AD831" s="66"/>
      <c r="AE831" s="66"/>
      <c r="AF831" s="66"/>
      <c r="AG831" s="66"/>
      <c r="AH831" s="66"/>
    </row>
    <row r="832" spans="1:34" ht="14.4" hidden="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c r="AC832" s="66"/>
      <c r="AD832" s="66"/>
      <c r="AE832" s="66"/>
      <c r="AF832" s="66"/>
      <c r="AG832" s="66"/>
      <c r="AH832" s="66"/>
    </row>
    <row r="833" spans="1:34" ht="14.4" hidden="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c r="AC833" s="66"/>
      <c r="AD833" s="66"/>
      <c r="AE833" s="66"/>
      <c r="AF833" s="66"/>
      <c r="AG833" s="66"/>
      <c r="AH833" s="66"/>
    </row>
    <row r="834" spans="1:34" ht="14.4" hidden="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c r="AC834" s="66"/>
      <c r="AD834" s="66"/>
      <c r="AE834" s="66"/>
      <c r="AF834" s="66"/>
      <c r="AG834" s="66"/>
      <c r="AH834" s="66"/>
    </row>
    <row r="835" spans="1:34" ht="14.4" hidden="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c r="AC835" s="66"/>
      <c r="AD835" s="66"/>
      <c r="AE835" s="66"/>
      <c r="AF835" s="66"/>
      <c r="AG835" s="66"/>
      <c r="AH835" s="66"/>
    </row>
    <row r="836" spans="1:34" ht="14.4" hidden="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c r="AB836" s="66"/>
      <c r="AC836" s="66"/>
      <c r="AD836" s="66"/>
      <c r="AE836" s="66"/>
      <c r="AF836" s="66"/>
      <c r="AG836" s="66"/>
      <c r="AH836" s="66"/>
    </row>
    <row r="837" spans="1:34" ht="14.4" hidden="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c r="AB837" s="66"/>
      <c r="AC837" s="66"/>
      <c r="AD837" s="66"/>
      <c r="AE837" s="66"/>
      <c r="AF837" s="66"/>
      <c r="AG837" s="66"/>
      <c r="AH837" s="66"/>
    </row>
    <row r="838" spans="1:34" ht="14.4" hidden="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c r="AB838" s="66"/>
      <c r="AC838" s="66"/>
      <c r="AD838" s="66"/>
      <c r="AE838" s="66"/>
      <c r="AF838" s="66"/>
      <c r="AG838" s="66"/>
      <c r="AH838" s="66"/>
    </row>
    <row r="839" spans="1:34" ht="14.4" hidden="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c r="AB839" s="66"/>
      <c r="AC839" s="66"/>
      <c r="AD839" s="66"/>
      <c r="AE839" s="66"/>
      <c r="AF839" s="66"/>
      <c r="AG839" s="66"/>
      <c r="AH839" s="66"/>
    </row>
    <row r="840" spans="1:34" ht="14.4" hidden="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c r="AB840" s="66"/>
      <c r="AC840" s="66"/>
      <c r="AD840" s="66"/>
      <c r="AE840" s="66"/>
      <c r="AF840" s="66"/>
      <c r="AG840" s="66"/>
      <c r="AH840" s="66"/>
    </row>
    <row r="841" spans="1:34" ht="14.4" hidden="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c r="AB841" s="66"/>
      <c r="AC841" s="66"/>
      <c r="AD841" s="66"/>
      <c r="AE841" s="66"/>
      <c r="AF841" s="66"/>
      <c r="AG841" s="66"/>
      <c r="AH841" s="66"/>
    </row>
    <row r="842" spans="1:34" ht="14.4" hidden="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c r="AB842" s="66"/>
      <c r="AC842" s="66"/>
      <c r="AD842" s="66"/>
      <c r="AE842" s="66"/>
      <c r="AF842" s="66"/>
      <c r="AG842" s="66"/>
      <c r="AH842" s="66"/>
    </row>
    <row r="843" spans="1:34" ht="14.4" hidden="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c r="AB843" s="66"/>
      <c r="AC843" s="66"/>
      <c r="AD843" s="66"/>
      <c r="AE843" s="66"/>
      <c r="AF843" s="66"/>
      <c r="AG843" s="66"/>
      <c r="AH843" s="66"/>
    </row>
    <row r="844" spans="1:34" ht="14.4" hidden="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c r="AB844" s="66"/>
      <c r="AC844" s="66"/>
      <c r="AD844" s="66"/>
      <c r="AE844" s="66"/>
      <c r="AF844" s="66"/>
      <c r="AG844" s="66"/>
      <c r="AH844" s="66"/>
    </row>
    <row r="845" spans="1:34" ht="14.4" hidden="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c r="AB845" s="66"/>
      <c r="AC845" s="66"/>
      <c r="AD845" s="66"/>
      <c r="AE845" s="66"/>
      <c r="AF845" s="66"/>
      <c r="AG845" s="66"/>
      <c r="AH845" s="66"/>
    </row>
    <row r="846" spans="1:34" ht="14.4" hidden="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c r="AB846" s="66"/>
      <c r="AC846" s="66"/>
      <c r="AD846" s="66"/>
      <c r="AE846" s="66"/>
      <c r="AF846" s="66"/>
      <c r="AG846" s="66"/>
      <c r="AH846" s="66"/>
    </row>
    <row r="847" spans="1:34" ht="14.4" hidden="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c r="AC847" s="66"/>
      <c r="AD847" s="66"/>
      <c r="AE847" s="66"/>
      <c r="AF847" s="66"/>
      <c r="AG847" s="66"/>
      <c r="AH847" s="66"/>
    </row>
    <row r="848" spans="1:34" ht="14.4" hidden="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c r="AB848" s="66"/>
      <c r="AC848" s="66"/>
      <c r="AD848" s="66"/>
      <c r="AE848" s="66"/>
      <c r="AF848" s="66"/>
      <c r="AG848" s="66"/>
      <c r="AH848" s="66"/>
    </row>
    <row r="849" spans="1:34" ht="14.4" hidden="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c r="AB849" s="66"/>
      <c r="AC849" s="66"/>
      <c r="AD849" s="66"/>
      <c r="AE849" s="66"/>
      <c r="AF849" s="66"/>
      <c r="AG849" s="66"/>
      <c r="AH849" s="66"/>
    </row>
    <row r="850" spans="1:34" ht="14.4" hidden="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c r="AB850" s="66"/>
      <c r="AC850" s="66"/>
      <c r="AD850" s="66"/>
      <c r="AE850" s="66"/>
      <c r="AF850" s="66"/>
      <c r="AG850" s="66"/>
      <c r="AH850" s="66"/>
    </row>
    <row r="851" spans="1:34" ht="14.4" hidden="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c r="AB851" s="66"/>
      <c r="AC851" s="66"/>
      <c r="AD851" s="66"/>
      <c r="AE851" s="66"/>
      <c r="AF851" s="66"/>
      <c r="AG851" s="66"/>
      <c r="AH851" s="66"/>
    </row>
    <row r="852" spans="1:34" ht="14.4" hidden="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c r="AB852" s="66"/>
      <c r="AC852" s="66"/>
      <c r="AD852" s="66"/>
      <c r="AE852" s="66"/>
      <c r="AF852" s="66"/>
      <c r="AG852" s="66"/>
      <c r="AH852" s="66"/>
    </row>
    <row r="853" spans="1:34" ht="14.4" hidden="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c r="AB853" s="66"/>
      <c r="AC853" s="66"/>
      <c r="AD853" s="66"/>
      <c r="AE853" s="66"/>
      <c r="AF853" s="66"/>
      <c r="AG853" s="66"/>
      <c r="AH853" s="66"/>
    </row>
    <row r="854" spans="1:34" ht="14.4" hidden="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c r="AB854" s="66"/>
      <c r="AC854" s="66"/>
      <c r="AD854" s="66"/>
      <c r="AE854" s="66"/>
      <c r="AF854" s="66"/>
      <c r="AG854" s="66"/>
      <c r="AH854" s="66"/>
    </row>
    <row r="855" spans="1:34" ht="14.4" hidden="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c r="AB855" s="66"/>
      <c r="AC855" s="66"/>
      <c r="AD855" s="66"/>
      <c r="AE855" s="66"/>
      <c r="AF855" s="66"/>
      <c r="AG855" s="66"/>
      <c r="AH855" s="66"/>
    </row>
    <row r="856" spans="1:34" ht="14.4" hidden="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c r="AB856" s="66"/>
      <c r="AC856" s="66"/>
      <c r="AD856" s="66"/>
      <c r="AE856" s="66"/>
      <c r="AF856" s="66"/>
      <c r="AG856" s="66"/>
      <c r="AH856" s="66"/>
    </row>
    <row r="857" spans="1:34" ht="14.4" hidden="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c r="AB857" s="66"/>
      <c r="AC857" s="66"/>
      <c r="AD857" s="66"/>
      <c r="AE857" s="66"/>
      <c r="AF857" s="66"/>
      <c r="AG857" s="66"/>
      <c r="AH857" s="66"/>
    </row>
    <row r="858" spans="1:34" ht="14.4" hidden="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c r="AB858" s="66"/>
      <c r="AC858" s="66"/>
      <c r="AD858" s="66"/>
      <c r="AE858" s="66"/>
      <c r="AF858" s="66"/>
      <c r="AG858" s="66"/>
      <c r="AH858" s="66"/>
    </row>
    <row r="859" spans="1:34" ht="14.4" hidden="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c r="AB859" s="66"/>
      <c r="AC859" s="66"/>
      <c r="AD859" s="66"/>
      <c r="AE859" s="66"/>
      <c r="AF859" s="66"/>
      <c r="AG859" s="66"/>
      <c r="AH859" s="66"/>
    </row>
    <row r="860" spans="1:34" ht="14.4" hidden="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c r="AB860" s="66"/>
      <c r="AC860" s="66"/>
      <c r="AD860" s="66"/>
      <c r="AE860" s="66"/>
      <c r="AF860" s="66"/>
      <c r="AG860" s="66"/>
      <c r="AH860" s="66"/>
    </row>
    <row r="861" spans="1:34" ht="14.4" hidden="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c r="AB861" s="66"/>
      <c r="AC861" s="66"/>
      <c r="AD861" s="66"/>
      <c r="AE861" s="66"/>
      <c r="AF861" s="66"/>
      <c r="AG861" s="66"/>
      <c r="AH861" s="66"/>
    </row>
    <row r="862" spans="1:34" ht="14.4" hidden="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c r="AB862" s="66"/>
      <c r="AC862" s="66"/>
      <c r="AD862" s="66"/>
      <c r="AE862" s="66"/>
      <c r="AF862" s="66"/>
      <c r="AG862" s="66"/>
      <c r="AH862" s="66"/>
    </row>
    <row r="863" spans="1:34" ht="14.4" hidden="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c r="AB863" s="66"/>
      <c r="AC863" s="66"/>
      <c r="AD863" s="66"/>
      <c r="AE863" s="66"/>
      <c r="AF863" s="66"/>
      <c r="AG863" s="66"/>
      <c r="AH863" s="66"/>
    </row>
    <row r="864" spans="1:34" ht="14.4" hidden="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c r="AB864" s="66"/>
      <c r="AC864" s="66"/>
      <c r="AD864" s="66"/>
      <c r="AE864" s="66"/>
      <c r="AF864" s="66"/>
      <c r="AG864" s="66"/>
      <c r="AH864" s="66"/>
    </row>
    <row r="865" spans="1:34" ht="14.4" hidden="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c r="AB865" s="66"/>
      <c r="AC865" s="66"/>
      <c r="AD865" s="66"/>
      <c r="AE865" s="66"/>
      <c r="AF865" s="66"/>
      <c r="AG865" s="66"/>
      <c r="AH865" s="66"/>
    </row>
    <row r="866" spans="1:34" ht="14.4" hidden="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c r="AB866" s="66"/>
      <c r="AC866" s="66"/>
      <c r="AD866" s="66"/>
      <c r="AE866" s="66"/>
      <c r="AF866" s="66"/>
      <c r="AG866" s="66"/>
      <c r="AH866" s="66"/>
    </row>
    <row r="867" spans="1:34" ht="14.4" hidden="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c r="AB867" s="66"/>
      <c r="AC867" s="66"/>
      <c r="AD867" s="66"/>
      <c r="AE867" s="66"/>
      <c r="AF867" s="66"/>
      <c r="AG867" s="66"/>
      <c r="AH867" s="66"/>
    </row>
    <row r="868" spans="1:34" ht="14.4" hidden="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c r="AB868" s="66"/>
      <c r="AC868" s="66"/>
      <c r="AD868" s="66"/>
      <c r="AE868" s="66"/>
      <c r="AF868" s="66"/>
      <c r="AG868" s="66"/>
      <c r="AH868" s="66"/>
    </row>
    <row r="869" spans="1:34" ht="14.4" hidden="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c r="AB869" s="66"/>
      <c r="AC869" s="66"/>
      <c r="AD869" s="66"/>
      <c r="AE869" s="66"/>
      <c r="AF869" s="66"/>
      <c r="AG869" s="66"/>
      <c r="AH869" s="66"/>
    </row>
    <row r="870" spans="1:34" ht="14.4" hidden="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c r="AB870" s="66"/>
      <c r="AC870" s="66"/>
      <c r="AD870" s="66"/>
      <c r="AE870" s="66"/>
      <c r="AF870" s="66"/>
      <c r="AG870" s="66"/>
      <c r="AH870" s="66"/>
    </row>
    <row r="871" spans="1:34" ht="14.4" hidden="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c r="AB871" s="66"/>
      <c r="AC871" s="66"/>
      <c r="AD871" s="66"/>
      <c r="AE871" s="66"/>
      <c r="AF871" s="66"/>
      <c r="AG871" s="66"/>
      <c r="AH871" s="66"/>
    </row>
    <row r="872" spans="1:34" ht="14.4" hidden="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c r="AB872" s="66"/>
      <c r="AC872" s="66"/>
      <c r="AD872" s="66"/>
      <c r="AE872" s="66"/>
      <c r="AF872" s="66"/>
      <c r="AG872" s="66"/>
      <c r="AH872" s="66"/>
    </row>
    <row r="873" spans="1:34" ht="14.4" hidden="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c r="AB873" s="66"/>
      <c r="AC873" s="66"/>
      <c r="AD873" s="66"/>
      <c r="AE873" s="66"/>
      <c r="AF873" s="66"/>
      <c r="AG873" s="66"/>
      <c r="AH873" s="66"/>
    </row>
    <row r="874" spans="1:34" ht="14.4" hidden="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c r="AB874" s="66"/>
      <c r="AC874" s="66"/>
      <c r="AD874" s="66"/>
      <c r="AE874" s="66"/>
      <c r="AF874" s="66"/>
      <c r="AG874" s="66"/>
      <c r="AH874" s="66"/>
    </row>
    <row r="875" spans="1:34" ht="14.4" hidden="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c r="AB875" s="66"/>
      <c r="AC875" s="66"/>
      <c r="AD875" s="66"/>
      <c r="AE875" s="66"/>
      <c r="AF875" s="66"/>
      <c r="AG875" s="66"/>
      <c r="AH875" s="66"/>
    </row>
    <row r="876" spans="1:34" ht="14.4" hidden="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c r="AB876" s="66"/>
      <c r="AC876" s="66"/>
      <c r="AD876" s="66"/>
      <c r="AE876" s="66"/>
      <c r="AF876" s="66"/>
      <c r="AG876" s="66"/>
      <c r="AH876" s="66"/>
    </row>
    <row r="877" spans="1:34" ht="14.4" hidden="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c r="AB877" s="66"/>
      <c r="AC877" s="66"/>
      <c r="AD877" s="66"/>
      <c r="AE877" s="66"/>
      <c r="AF877" s="66"/>
      <c r="AG877" s="66"/>
      <c r="AH877" s="66"/>
    </row>
    <row r="878" spans="1:34" ht="14.4" hidden="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c r="AB878" s="66"/>
      <c r="AC878" s="66"/>
      <c r="AD878" s="66"/>
      <c r="AE878" s="66"/>
      <c r="AF878" s="66"/>
      <c r="AG878" s="66"/>
      <c r="AH878" s="66"/>
    </row>
    <row r="879" spans="1:34" ht="14.4" hidden="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c r="AB879" s="66"/>
      <c r="AC879" s="66"/>
      <c r="AD879" s="66"/>
      <c r="AE879" s="66"/>
      <c r="AF879" s="66"/>
      <c r="AG879" s="66"/>
      <c r="AH879" s="66"/>
    </row>
    <row r="880" spans="1:34" ht="14.4" hidden="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c r="AB880" s="66"/>
      <c r="AC880" s="66"/>
      <c r="AD880" s="66"/>
      <c r="AE880" s="66"/>
      <c r="AF880" s="66"/>
      <c r="AG880" s="66"/>
      <c r="AH880" s="66"/>
    </row>
    <row r="881" spans="1:34" ht="14.4" hidden="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c r="AB881" s="66"/>
      <c r="AC881" s="66"/>
      <c r="AD881" s="66"/>
      <c r="AE881" s="66"/>
      <c r="AF881" s="66"/>
      <c r="AG881" s="66"/>
      <c r="AH881" s="66"/>
    </row>
    <row r="882" spans="1:34" ht="14.4" hidden="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c r="AC882" s="66"/>
      <c r="AD882" s="66"/>
      <c r="AE882" s="66"/>
      <c r="AF882" s="66"/>
      <c r="AG882" s="66"/>
      <c r="AH882" s="66"/>
    </row>
    <row r="883" spans="1:34" ht="14.4" hidden="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c r="AB883" s="66"/>
      <c r="AC883" s="66"/>
      <c r="AD883" s="66"/>
      <c r="AE883" s="66"/>
      <c r="AF883" s="66"/>
      <c r="AG883" s="66"/>
      <c r="AH883" s="66"/>
    </row>
    <row r="884" spans="1:34" ht="14.4" hidden="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c r="AB884" s="66"/>
      <c r="AC884" s="66"/>
      <c r="AD884" s="66"/>
      <c r="AE884" s="66"/>
      <c r="AF884" s="66"/>
      <c r="AG884" s="66"/>
      <c r="AH884" s="66"/>
    </row>
    <row r="885" spans="1:34" ht="14.4" hidden="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c r="AB885" s="66"/>
      <c r="AC885" s="66"/>
      <c r="AD885" s="66"/>
      <c r="AE885" s="66"/>
      <c r="AF885" s="66"/>
      <c r="AG885" s="66"/>
      <c r="AH885" s="66"/>
    </row>
    <row r="886" spans="1:34" ht="14.4" hidden="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c r="AB886" s="66"/>
      <c r="AC886" s="66"/>
      <c r="AD886" s="66"/>
      <c r="AE886" s="66"/>
      <c r="AF886" s="66"/>
      <c r="AG886" s="66"/>
      <c r="AH886" s="66"/>
    </row>
    <row r="887" spans="1:34" ht="14.4" hidden="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c r="AB887" s="66"/>
      <c r="AC887" s="66"/>
      <c r="AD887" s="66"/>
      <c r="AE887" s="66"/>
      <c r="AF887" s="66"/>
      <c r="AG887" s="66"/>
      <c r="AH887" s="66"/>
    </row>
    <row r="888" spans="1:34" ht="14.4" hidden="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c r="AB888" s="66"/>
      <c r="AC888" s="66"/>
      <c r="AD888" s="66"/>
      <c r="AE888" s="66"/>
      <c r="AF888" s="66"/>
      <c r="AG888" s="66"/>
      <c r="AH888" s="66"/>
    </row>
    <row r="889" spans="1:34" ht="14.4" hidden="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c r="AB889" s="66"/>
      <c r="AC889" s="66"/>
      <c r="AD889" s="66"/>
      <c r="AE889" s="66"/>
      <c r="AF889" s="66"/>
      <c r="AG889" s="66"/>
      <c r="AH889" s="66"/>
    </row>
    <row r="890" spans="1:34" ht="14.4" hidden="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c r="AB890" s="66"/>
      <c r="AC890" s="66"/>
      <c r="AD890" s="66"/>
      <c r="AE890" s="66"/>
      <c r="AF890" s="66"/>
      <c r="AG890" s="66"/>
      <c r="AH890" s="66"/>
    </row>
    <row r="891" spans="1:34" ht="14.4" hidden="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c r="AB891" s="66"/>
      <c r="AC891" s="66"/>
      <c r="AD891" s="66"/>
      <c r="AE891" s="66"/>
      <c r="AF891" s="66"/>
      <c r="AG891" s="66"/>
      <c r="AH891" s="66"/>
    </row>
    <row r="892" spans="1:34" ht="14.4" hidden="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c r="AB892" s="66"/>
      <c r="AC892" s="66"/>
      <c r="AD892" s="66"/>
      <c r="AE892" s="66"/>
      <c r="AF892" s="66"/>
      <c r="AG892" s="66"/>
      <c r="AH892" s="66"/>
    </row>
    <row r="893" spans="1:34" ht="14.4" hidden="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c r="AC893" s="66"/>
      <c r="AD893" s="66"/>
      <c r="AE893" s="66"/>
      <c r="AF893" s="66"/>
      <c r="AG893" s="66"/>
      <c r="AH893" s="66"/>
    </row>
    <row r="894" spans="1:34" ht="14.4" hidden="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c r="AB894" s="66"/>
      <c r="AC894" s="66"/>
      <c r="AD894" s="66"/>
      <c r="AE894" s="66"/>
      <c r="AF894" s="66"/>
      <c r="AG894" s="66"/>
      <c r="AH894" s="66"/>
    </row>
    <row r="895" spans="1:34" ht="14.4" hidden="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c r="AB895" s="66"/>
      <c r="AC895" s="66"/>
      <c r="AD895" s="66"/>
      <c r="AE895" s="66"/>
      <c r="AF895" s="66"/>
      <c r="AG895" s="66"/>
      <c r="AH895" s="66"/>
    </row>
    <row r="896" spans="1:34" ht="14.4" hidden="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c r="AB896" s="66"/>
      <c r="AC896" s="66"/>
      <c r="AD896" s="66"/>
      <c r="AE896" s="66"/>
      <c r="AF896" s="66"/>
      <c r="AG896" s="66"/>
      <c r="AH896" s="66"/>
    </row>
    <row r="897" spans="1:34" ht="14.4" hidden="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c r="AB897" s="66"/>
      <c r="AC897" s="66"/>
      <c r="AD897" s="66"/>
      <c r="AE897" s="66"/>
      <c r="AF897" s="66"/>
      <c r="AG897" s="66"/>
      <c r="AH897" s="66"/>
    </row>
    <row r="898" spans="1:34" ht="14.4" hidden="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c r="AB898" s="66"/>
      <c r="AC898" s="66"/>
      <c r="AD898" s="66"/>
      <c r="AE898" s="66"/>
      <c r="AF898" s="66"/>
      <c r="AG898" s="66"/>
      <c r="AH898" s="66"/>
    </row>
    <row r="899" spans="1:34" ht="14.4" hidden="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c r="AB899" s="66"/>
      <c r="AC899" s="66"/>
      <c r="AD899" s="66"/>
      <c r="AE899" s="66"/>
      <c r="AF899" s="66"/>
      <c r="AG899" s="66"/>
      <c r="AH899" s="66"/>
    </row>
    <row r="900" spans="1:34" ht="14.4" hidden="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c r="AB900" s="66"/>
      <c r="AC900" s="66"/>
      <c r="AD900" s="66"/>
      <c r="AE900" s="66"/>
      <c r="AF900" s="66"/>
      <c r="AG900" s="66"/>
      <c r="AH900" s="66"/>
    </row>
    <row r="901" spans="1:34" ht="14.4" hidden="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c r="AB901" s="66"/>
      <c r="AC901" s="66"/>
      <c r="AD901" s="66"/>
      <c r="AE901" s="66"/>
      <c r="AF901" s="66"/>
      <c r="AG901" s="66"/>
      <c r="AH901" s="66"/>
    </row>
    <row r="902" spans="1:34" ht="14.4" hidden="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c r="AB902" s="66"/>
      <c r="AC902" s="66"/>
      <c r="AD902" s="66"/>
      <c r="AE902" s="66"/>
      <c r="AF902" s="66"/>
      <c r="AG902" s="66"/>
      <c r="AH902" s="66"/>
    </row>
    <row r="903" spans="1:34" ht="14.4" hidden="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c r="AB903" s="66"/>
      <c r="AC903" s="66"/>
      <c r="AD903" s="66"/>
      <c r="AE903" s="66"/>
      <c r="AF903" s="66"/>
      <c r="AG903" s="66"/>
      <c r="AH903" s="66"/>
    </row>
    <row r="904" spans="1:34" ht="14.4" hidden="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c r="AB904" s="66"/>
      <c r="AC904" s="66"/>
      <c r="AD904" s="66"/>
      <c r="AE904" s="66"/>
      <c r="AF904" s="66"/>
      <c r="AG904" s="66"/>
      <c r="AH904" s="66"/>
    </row>
    <row r="905" spans="1:34" ht="14.4" hidden="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c r="AB905" s="66"/>
      <c r="AC905" s="66"/>
      <c r="AD905" s="66"/>
      <c r="AE905" s="66"/>
      <c r="AF905" s="66"/>
      <c r="AG905" s="66"/>
      <c r="AH905" s="66"/>
    </row>
    <row r="906" spans="1:34" ht="14.4" hidden="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c r="AB906" s="66"/>
      <c r="AC906" s="66"/>
      <c r="AD906" s="66"/>
      <c r="AE906" s="66"/>
      <c r="AF906" s="66"/>
      <c r="AG906" s="66"/>
      <c r="AH906" s="66"/>
    </row>
    <row r="907" spans="1:34" ht="14.4" hidden="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c r="AB907" s="66"/>
      <c r="AC907" s="66"/>
      <c r="AD907" s="66"/>
      <c r="AE907" s="66"/>
      <c r="AF907" s="66"/>
      <c r="AG907" s="66"/>
      <c r="AH907" s="66"/>
    </row>
    <row r="908" spans="1:34" ht="14.4" hidden="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c r="AB908" s="66"/>
      <c r="AC908" s="66"/>
      <c r="AD908" s="66"/>
      <c r="AE908" s="66"/>
      <c r="AF908" s="66"/>
      <c r="AG908" s="66"/>
      <c r="AH908" s="66"/>
    </row>
    <row r="909" spans="1:34" ht="14.4" hidden="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c r="AB909" s="66"/>
      <c r="AC909" s="66"/>
      <c r="AD909" s="66"/>
      <c r="AE909" s="66"/>
      <c r="AF909" s="66"/>
      <c r="AG909" s="66"/>
      <c r="AH909" s="66"/>
    </row>
    <row r="910" spans="1:34" ht="14.4" hidden="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c r="AB910" s="66"/>
      <c r="AC910" s="66"/>
      <c r="AD910" s="66"/>
      <c r="AE910" s="66"/>
      <c r="AF910" s="66"/>
      <c r="AG910" s="66"/>
      <c r="AH910" s="66"/>
    </row>
    <row r="911" spans="1:34" ht="14.4" hidden="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c r="AB911" s="66"/>
      <c r="AC911" s="66"/>
      <c r="AD911" s="66"/>
      <c r="AE911" s="66"/>
      <c r="AF911" s="66"/>
      <c r="AG911" s="66"/>
      <c r="AH911" s="66"/>
    </row>
    <row r="912" spans="1:34" ht="14.4" hidden="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c r="AB912" s="66"/>
      <c r="AC912" s="66"/>
      <c r="AD912" s="66"/>
      <c r="AE912" s="66"/>
      <c r="AF912" s="66"/>
      <c r="AG912" s="66"/>
      <c r="AH912" s="66"/>
    </row>
    <row r="913" spans="1:34" ht="14.4" hidden="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c r="AB913" s="66"/>
      <c r="AC913" s="66"/>
      <c r="AD913" s="66"/>
      <c r="AE913" s="66"/>
      <c r="AF913" s="66"/>
      <c r="AG913" s="66"/>
      <c r="AH913" s="66"/>
    </row>
    <row r="914" spans="1:34" ht="14.4" hidden="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c r="AB914" s="66"/>
      <c r="AC914" s="66"/>
      <c r="AD914" s="66"/>
      <c r="AE914" s="66"/>
      <c r="AF914" s="66"/>
      <c r="AG914" s="66"/>
      <c r="AH914" s="66"/>
    </row>
    <row r="915" spans="1:34" ht="14.4" hidden="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c r="AB915" s="66"/>
      <c r="AC915" s="66"/>
      <c r="AD915" s="66"/>
      <c r="AE915" s="66"/>
      <c r="AF915" s="66"/>
      <c r="AG915" s="66"/>
      <c r="AH915" s="66"/>
    </row>
    <row r="916" spans="1:34" ht="14.4" hidden="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c r="AB916" s="66"/>
      <c r="AC916" s="66"/>
      <c r="AD916" s="66"/>
      <c r="AE916" s="66"/>
      <c r="AF916" s="66"/>
      <c r="AG916" s="66"/>
      <c r="AH916" s="66"/>
    </row>
    <row r="917" spans="1:34" ht="14.4" hidden="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c r="AB917" s="66"/>
      <c r="AC917" s="66"/>
      <c r="AD917" s="66"/>
      <c r="AE917" s="66"/>
      <c r="AF917" s="66"/>
      <c r="AG917" s="66"/>
      <c r="AH917" s="66"/>
    </row>
    <row r="918" spans="1:34" ht="14.4" hidden="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c r="AB918" s="66"/>
      <c r="AC918" s="66"/>
      <c r="AD918" s="66"/>
      <c r="AE918" s="66"/>
      <c r="AF918" s="66"/>
      <c r="AG918" s="66"/>
      <c r="AH918" s="66"/>
    </row>
    <row r="919" spans="1:34" ht="14.4" hidden="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c r="AB919" s="66"/>
      <c r="AC919" s="66"/>
      <c r="AD919" s="66"/>
      <c r="AE919" s="66"/>
      <c r="AF919" s="66"/>
      <c r="AG919" s="66"/>
      <c r="AH919" s="66"/>
    </row>
    <row r="920" spans="1:34" ht="14.4" hidden="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c r="AB920" s="66"/>
      <c r="AC920" s="66"/>
      <c r="AD920" s="66"/>
      <c r="AE920" s="66"/>
      <c r="AF920" s="66"/>
      <c r="AG920" s="66"/>
      <c r="AH920" s="66"/>
    </row>
    <row r="921" spans="1:34" ht="14.4" hidden="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c r="AB921" s="66"/>
      <c r="AC921" s="66"/>
      <c r="AD921" s="66"/>
      <c r="AE921" s="66"/>
      <c r="AF921" s="66"/>
      <c r="AG921" s="66"/>
      <c r="AH921" s="66"/>
    </row>
    <row r="922" spans="1:34" ht="14.4" hidden="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c r="AC922" s="66"/>
      <c r="AD922" s="66"/>
      <c r="AE922" s="66"/>
      <c r="AF922" s="66"/>
      <c r="AG922" s="66"/>
      <c r="AH922" s="66"/>
    </row>
    <row r="923" spans="1:34" ht="14.4" hidden="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c r="AC923" s="66"/>
      <c r="AD923" s="66"/>
      <c r="AE923" s="66"/>
      <c r="AF923" s="66"/>
      <c r="AG923" s="66"/>
      <c r="AH923" s="66"/>
    </row>
    <row r="924" spans="1:34" ht="14.4" hidden="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c r="AB924" s="66"/>
      <c r="AC924" s="66"/>
      <c r="AD924" s="66"/>
      <c r="AE924" s="66"/>
      <c r="AF924" s="66"/>
      <c r="AG924" s="66"/>
      <c r="AH924" s="66"/>
    </row>
    <row r="925" spans="1:34" ht="14.4" hidden="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c r="AC925" s="66"/>
      <c r="AD925" s="66"/>
      <c r="AE925" s="66"/>
      <c r="AF925" s="66"/>
      <c r="AG925" s="66"/>
      <c r="AH925" s="66"/>
    </row>
    <row r="926" spans="1:34" ht="14.4" hidden="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c r="AB926" s="66"/>
      <c r="AC926" s="66"/>
      <c r="AD926" s="66"/>
      <c r="AE926" s="66"/>
      <c r="AF926" s="66"/>
      <c r="AG926" s="66"/>
      <c r="AH926" s="66"/>
    </row>
    <row r="927" spans="1:34" ht="14.4" hidden="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c r="AB927" s="66"/>
      <c r="AC927" s="66"/>
      <c r="AD927" s="66"/>
      <c r="AE927" s="66"/>
      <c r="AF927" s="66"/>
      <c r="AG927" s="66"/>
      <c r="AH927" s="66"/>
    </row>
    <row r="928" spans="1:34" ht="14.4" hidden="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c r="AB928" s="66"/>
      <c r="AC928" s="66"/>
      <c r="AD928" s="66"/>
      <c r="AE928" s="66"/>
      <c r="AF928" s="66"/>
      <c r="AG928" s="66"/>
      <c r="AH928" s="66"/>
    </row>
    <row r="929" spans="1:34" ht="14.4" hidden="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c r="AB929" s="66"/>
      <c r="AC929" s="66"/>
      <c r="AD929" s="66"/>
      <c r="AE929" s="66"/>
      <c r="AF929" s="66"/>
      <c r="AG929" s="66"/>
      <c r="AH929" s="66"/>
    </row>
    <row r="930" spans="1:34" ht="14.4" hidden="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c r="AB930" s="66"/>
      <c r="AC930" s="66"/>
      <c r="AD930" s="66"/>
      <c r="AE930" s="66"/>
      <c r="AF930" s="66"/>
      <c r="AG930" s="66"/>
      <c r="AH930" s="66"/>
    </row>
    <row r="931" spans="1:34" ht="14.4" hidden="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c r="AB931" s="66"/>
      <c r="AC931" s="66"/>
      <c r="AD931" s="66"/>
      <c r="AE931" s="66"/>
      <c r="AF931" s="66"/>
      <c r="AG931" s="66"/>
      <c r="AH931" s="66"/>
    </row>
    <row r="932" spans="1:34" ht="14.4" hidden="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c r="AB932" s="66"/>
      <c r="AC932" s="66"/>
      <c r="AD932" s="66"/>
      <c r="AE932" s="66"/>
      <c r="AF932" s="66"/>
      <c r="AG932" s="66"/>
      <c r="AH932" s="66"/>
    </row>
    <row r="933" spans="1:34" ht="14.4" hidden="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c r="AB933" s="66"/>
      <c r="AC933" s="66"/>
      <c r="AD933" s="66"/>
      <c r="AE933" s="66"/>
      <c r="AF933" s="66"/>
      <c r="AG933" s="66"/>
      <c r="AH933" s="66"/>
    </row>
    <row r="934" spans="1:34" ht="14.4" hidden="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c r="AB934" s="66"/>
      <c r="AC934" s="66"/>
      <c r="AD934" s="66"/>
      <c r="AE934" s="66"/>
      <c r="AF934" s="66"/>
      <c r="AG934" s="66"/>
      <c r="AH934" s="66"/>
    </row>
    <row r="935" spans="1:34" ht="14.4" hidden="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c r="AB935" s="66"/>
      <c r="AC935" s="66"/>
      <c r="AD935" s="66"/>
      <c r="AE935" s="66"/>
      <c r="AF935" s="66"/>
      <c r="AG935" s="66"/>
      <c r="AH935" s="66"/>
    </row>
    <row r="936" spans="1:34" ht="14.4" hidden="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c r="AB936" s="66"/>
      <c r="AC936" s="66"/>
      <c r="AD936" s="66"/>
      <c r="AE936" s="66"/>
      <c r="AF936" s="66"/>
      <c r="AG936" s="66"/>
      <c r="AH936" s="66"/>
    </row>
    <row r="937" spans="1:34" ht="14.4" hidden="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c r="AB937" s="66"/>
      <c r="AC937" s="66"/>
      <c r="AD937" s="66"/>
      <c r="AE937" s="66"/>
      <c r="AF937" s="66"/>
      <c r="AG937" s="66"/>
      <c r="AH937" s="66"/>
    </row>
    <row r="938" spans="1:34" ht="14.4" hidden="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c r="AB938" s="66"/>
      <c r="AC938" s="66"/>
      <c r="AD938" s="66"/>
      <c r="AE938" s="66"/>
      <c r="AF938" s="66"/>
      <c r="AG938" s="66"/>
      <c r="AH938" s="66"/>
    </row>
    <row r="939" spans="1:34" ht="14.4" hidden="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c r="AB939" s="66"/>
      <c r="AC939" s="66"/>
      <c r="AD939" s="66"/>
      <c r="AE939" s="66"/>
      <c r="AF939" s="66"/>
      <c r="AG939" s="66"/>
      <c r="AH939" s="66"/>
    </row>
    <row r="940" spans="1:34" ht="14.4" hidden="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c r="AB940" s="66"/>
      <c r="AC940" s="66"/>
      <c r="AD940" s="66"/>
      <c r="AE940" s="66"/>
      <c r="AF940" s="66"/>
      <c r="AG940" s="66"/>
      <c r="AH940" s="66"/>
    </row>
    <row r="941" spans="1:34" ht="14.4" hidden="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c r="AB941" s="66"/>
      <c r="AC941" s="66"/>
      <c r="AD941" s="66"/>
      <c r="AE941" s="66"/>
      <c r="AF941" s="66"/>
      <c r="AG941" s="66"/>
      <c r="AH941" s="66"/>
    </row>
    <row r="942" spans="1:34" ht="14.4" hidden="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c r="AB942" s="66"/>
      <c r="AC942" s="66"/>
      <c r="AD942" s="66"/>
      <c r="AE942" s="66"/>
      <c r="AF942" s="66"/>
      <c r="AG942" s="66"/>
      <c r="AH942" s="66"/>
    </row>
    <row r="943" spans="1:34" ht="14.4" hidden="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c r="AB943" s="66"/>
      <c r="AC943" s="66"/>
      <c r="AD943" s="66"/>
      <c r="AE943" s="66"/>
      <c r="AF943" s="66"/>
      <c r="AG943" s="66"/>
      <c r="AH943" s="66"/>
    </row>
    <row r="944" spans="1:34" ht="14.4" hidden="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c r="AB944" s="66"/>
      <c r="AC944" s="66"/>
      <c r="AD944" s="66"/>
      <c r="AE944" s="66"/>
      <c r="AF944" s="66"/>
      <c r="AG944" s="66"/>
      <c r="AH944" s="66"/>
    </row>
    <row r="945" spans="1:34" ht="14.4" hidden="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c r="AB945" s="66"/>
      <c r="AC945" s="66"/>
      <c r="AD945" s="66"/>
      <c r="AE945" s="66"/>
      <c r="AF945" s="66"/>
      <c r="AG945" s="66"/>
      <c r="AH945" s="66"/>
    </row>
    <row r="946" spans="1:34" ht="14.4" hidden="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c r="AB946" s="66"/>
      <c r="AC946" s="66"/>
      <c r="AD946" s="66"/>
      <c r="AE946" s="66"/>
      <c r="AF946" s="66"/>
      <c r="AG946" s="66"/>
      <c r="AH946" s="66"/>
    </row>
    <row r="947" spans="1:34" ht="14.4" hidden="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c r="AB947" s="66"/>
      <c r="AC947" s="66"/>
      <c r="AD947" s="66"/>
      <c r="AE947" s="66"/>
      <c r="AF947" s="66"/>
      <c r="AG947" s="66"/>
      <c r="AH947" s="66"/>
    </row>
    <row r="948" spans="1:34" ht="14.4" hidden="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c r="AB948" s="66"/>
      <c r="AC948" s="66"/>
      <c r="AD948" s="66"/>
      <c r="AE948" s="66"/>
      <c r="AF948" s="66"/>
      <c r="AG948" s="66"/>
      <c r="AH948" s="66"/>
    </row>
    <row r="949" spans="1:34" ht="14.4" hidden="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c r="AB949" s="66"/>
      <c r="AC949" s="66"/>
      <c r="AD949" s="66"/>
      <c r="AE949" s="66"/>
      <c r="AF949" s="66"/>
      <c r="AG949" s="66"/>
      <c r="AH949" s="66"/>
    </row>
    <row r="950" spans="1:34" ht="14.4" hidden="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c r="AB950" s="66"/>
      <c r="AC950" s="66"/>
      <c r="AD950" s="66"/>
      <c r="AE950" s="66"/>
      <c r="AF950" s="66"/>
      <c r="AG950" s="66"/>
      <c r="AH950" s="66"/>
    </row>
    <row r="951" spans="1:34" ht="14.4" hidden="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c r="AB951" s="66"/>
      <c r="AC951" s="66"/>
      <c r="AD951" s="66"/>
      <c r="AE951" s="66"/>
      <c r="AF951" s="66"/>
      <c r="AG951" s="66"/>
      <c r="AH951" s="66"/>
    </row>
    <row r="952" spans="1:34" ht="14.4" hidden="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c r="AB952" s="66"/>
      <c r="AC952" s="66"/>
      <c r="AD952" s="66"/>
      <c r="AE952" s="66"/>
      <c r="AF952" s="66"/>
      <c r="AG952" s="66"/>
      <c r="AH952" s="66"/>
    </row>
    <row r="953" spans="1:34" ht="14.4" hidden="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c r="AB953" s="66"/>
      <c r="AC953" s="66"/>
      <c r="AD953" s="66"/>
      <c r="AE953" s="66"/>
      <c r="AF953" s="66"/>
      <c r="AG953" s="66"/>
      <c r="AH953" s="66"/>
    </row>
    <row r="954" spans="1:34" ht="14.4" hidden="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c r="AB954" s="66"/>
      <c r="AC954" s="66"/>
      <c r="AD954" s="66"/>
      <c r="AE954" s="66"/>
      <c r="AF954" s="66"/>
      <c r="AG954" s="66"/>
      <c r="AH954" s="66"/>
    </row>
    <row r="955" spans="1:34" ht="14.4" hidden="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c r="AB955" s="66"/>
      <c r="AC955" s="66"/>
      <c r="AD955" s="66"/>
      <c r="AE955" s="66"/>
      <c r="AF955" s="66"/>
      <c r="AG955" s="66"/>
      <c r="AH955" s="66"/>
    </row>
    <row r="956" spans="1:34" ht="14.4" hidden="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c r="AB956" s="66"/>
      <c r="AC956" s="66"/>
      <c r="AD956" s="66"/>
      <c r="AE956" s="66"/>
      <c r="AF956" s="66"/>
      <c r="AG956" s="66"/>
      <c r="AH956" s="66"/>
    </row>
    <row r="957" spans="1:34" ht="14.4" hidden="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c r="AB957" s="66"/>
      <c r="AC957" s="66"/>
      <c r="AD957" s="66"/>
      <c r="AE957" s="66"/>
      <c r="AF957" s="66"/>
      <c r="AG957" s="66"/>
      <c r="AH957" s="66"/>
    </row>
    <row r="958" spans="1:34" ht="14.4" hidden="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c r="AB958" s="66"/>
      <c r="AC958" s="66"/>
      <c r="AD958" s="66"/>
      <c r="AE958" s="66"/>
      <c r="AF958" s="66"/>
      <c r="AG958" s="66"/>
      <c r="AH958" s="66"/>
    </row>
    <row r="959" spans="1:34" ht="14.4" hidden="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c r="AB959" s="66"/>
      <c r="AC959" s="66"/>
      <c r="AD959" s="66"/>
      <c r="AE959" s="66"/>
      <c r="AF959" s="66"/>
      <c r="AG959" s="66"/>
      <c r="AH959" s="66"/>
    </row>
    <row r="960" spans="1:34" ht="14.4" hidden="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c r="AB960" s="66"/>
      <c r="AC960" s="66"/>
      <c r="AD960" s="66"/>
      <c r="AE960" s="66"/>
      <c r="AF960" s="66"/>
      <c r="AG960" s="66"/>
      <c r="AH960" s="66"/>
    </row>
    <row r="961" spans="1:34" ht="14.4" hidden="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c r="AB961" s="66"/>
      <c r="AC961" s="66"/>
      <c r="AD961" s="66"/>
      <c r="AE961" s="66"/>
      <c r="AF961" s="66"/>
      <c r="AG961" s="66"/>
      <c r="AH961" s="66"/>
    </row>
    <row r="962" spans="1:34" ht="14.4" hidden="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c r="AB962" s="66"/>
      <c r="AC962" s="66"/>
      <c r="AD962" s="66"/>
      <c r="AE962" s="66"/>
      <c r="AF962" s="66"/>
      <c r="AG962" s="66"/>
      <c r="AH962" s="66"/>
    </row>
    <row r="963" spans="1:34" ht="14.4" hidden="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c r="AB963" s="66"/>
      <c r="AC963" s="66"/>
      <c r="AD963" s="66"/>
      <c r="AE963" s="66"/>
      <c r="AF963" s="66"/>
      <c r="AG963" s="66"/>
      <c r="AH963" s="66"/>
    </row>
    <row r="964" spans="1:34" ht="14.4" hidden="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c r="AB964" s="66"/>
      <c r="AC964" s="66"/>
      <c r="AD964" s="66"/>
      <c r="AE964" s="66"/>
      <c r="AF964" s="66"/>
      <c r="AG964" s="66"/>
      <c r="AH964" s="66"/>
    </row>
    <row r="965" spans="1:34" ht="14.4" hidden="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c r="AB965" s="66"/>
      <c r="AC965" s="66"/>
      <c r="AD965" s="66"/>
      <c r="AE965" s="66"/>
      <c r="AF965" s="66"/>
      <c r="AG965" s="66"/>
      <c r="AH965" s="66"/>
    </row>
    <row r="966" spans="1:34" ht="14.4" hidden="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c r="AB966" s="66"/>
      <c r="AC966" s="66"/>
      <c r="AD966" s="66"/>
      <c r="AE966" s="66"/>
      <c r="AF966" s="66"/>
      <c r="AG966" s="66"/>
      <c r="AH966" s="66"/>
    </row>
    <row r="967" spans="1:34" ht="14.4" hidden="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c r="AB967" s="66"/>
      <c r="AC967" s="66"/>
      <c r="AD967" s="66"/>
      <c r="AE967" s="66"/>
      <c r="AF967" s="66"/>
      <c r="AG967" s="66"/>
      <c r="AH967" s="66"/>
    </row>
    <row r="968" spans="1:34" ht="14.4" hidden="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c r="AB968" s="66"/>
      <c r="AC968" s="66"/>
      <c r="AD968" s="66"/>
      <c r="AE968" s="66"/>
      <c r="AF968" s="66"/>
      <c r="AG968" s="66"/>
      <c r="AH968" s="66"/>
    </row>
    <row r="969" spans="1:34" ht="14.4" hidden="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c r="AB969" s="66"/>
      <c r="AC969" s="66"/>
      <c r="AD969" s="66"/>
      <c r="AE969" s="66"/>
      <c r="AF969" s="66"/>
      <c r="AG969" s="66"/>
      <c r="AH969" s="66"/>
    </row>
    <row r="970" spans="1:34" ht="14.4" hidden="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c r="AB970" s="66"/>
      <c r="AC970" s="66"/>
      <c r="AD970" s="66"/>
      <c r="AE970" s="66"/>
      <c r="AF970" s="66"/>
      <c r="AG970" s="66"/>
      <c r="AH970" s="66"/>
    </row>
    <row r="971" spans="1:34" ht="14.4" hidden="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c r="AB971" s="66"/>
      <c r="AC971" s="66"/>
      <c r="AD971" s="66"/>
      <c r="AE971" s="66"/>
      <c r="AF971" s="66"/>
      <c r="AG971" s="66"/>
      <c r="AH971" s="66"/>
    </row>
    <row r="972" spans="1:34" ht="14.4" hidden="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c r="AB972" s="66"/>
      <c r="AC972" s="66"/>
      <c r="AD972" s="66"/>
      <c r="AE972" s="66"/>
      <c r="AF972" s="66"/>
      <c r="AG972" s="66"/>
      <c r="AH972" s="66"/>
    </row>
    <row r="973" spans="1:34" ht="14.4" hidden="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c r="AB973" s="66"/>
      <c r="AC973" s="66"/>
      <c r="AD973" s="66"/>
      <c r="AE973" s="66"/>
      <c r="AF973" s="66"/>
      <c r="AG973" s="66"/>
      <c r="AH973" s="66"/>
    </row>
    <row r="974" spans="1:34" ht="14.4" hidden="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c r="AB974" s="66"/>
      <c r="AC974" s="66"/>
      <c r="AD974" s="66"/>
      <c r="AE974" s="66"/>
      <c r="AF974" s="66"/>
      <c r="AG974" s="66"/>
      <c r="AH974" s="66"/>
    </row>
    <row r="975" spans="1:34" ht="14.4" hidden="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c r="AB975" s="66"/>
      <c r="AC975" s="66"/>
      <c r="AD975" s="66"/>
      <c r="AE975" s="66"/>
      <c r="AF975" s="66"/>
      <c r="AG975" s="66"/>
      <c r="AH975" s="66"/>
    </row>
    <row r="976" spans="1:34" ht="14.4" hidden="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c r="AB976" s="66"/>
      <c r="AC976" s="66"/>
      <c r="AD976" s="66"/>
      <c r="AE976" s="66"/>
      <c r="AF976" s="66"/>
      <c r="AG976" s="66"/>
      <c r="AH976" s="66"/>
    </row>
    <row r="977" spans="1:34" ht="14.4" hidden="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c r="AB977" s="66"/>
      <c r="AC977" s="66"/>
      <c r="AD977" s="66"/>
      <c r="AE977" s="66"/>
      <c r="AF977" s="66"/>
      <c r="AG977" s="66"/>
      <c r="AH977" s="66"/>
    </row>
    <row r="978" spans="1:34" ht="14.4" hidden="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c r="AB978" s="66"/>
      <c r="AC978" s="66"/>
      <c r="AD978" s="66"/>
      <c r="AE978" s="66"/>
      <c r="AF978" s="66"/>
      <c r="AG978" s="66"/>
      <c r="AH978" s="66"/>
    </row>
    <row r="979" spans="1:34" ht="14.4" hidden="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c r="AB979" s="66"/>
      <c r="AC979" s="66"/>
      <c r="AD979" s="66"/>
      <c r="AE979" s="66"/>
      <c r="AF979" s="66"/>
      <c r="AG979" s="66"/>
      <c r="AH979" s="66"/>
    </row>
    <row r="980" spans="1:34" ht="14.4" hidden="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c r="AB980" s="66"/>
      <c r="AC980" s="66"/>
      <c r="AD980" s="66"/>
      <c r="AE980" s="66"/>
      <c r="AF980" s="66"/>
      <c r="AG980" s="66"/>
      <c r="AH980" s="66"/>
    </row>
    <row r="981" spans="1:34" ht="14.4" hidden="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c r="AB981" s="66"/>
      <c r="AC981" s="66"/>
      <c r="AD981" s="66"/>
      <c r="AE981" s="66"/>
      <c r="AF981" s="66"/>
      <c r="AG981" s="66"/>
      <c r="AH981" s="66"/>
    </row>
    <row r="982" spans="1:34" ht="14.4" hidden="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c r="AB982" s="66"/>
      <c r="AC982" s="66"/>
      <c r="AD982" s="66"/>
      <c r="AE982" s="66"/>
      <c r="AF982" s="66"/>
      <c r="AG982" s="66"/>
      <c r="AH982" s="66"/>
    </row>
    <row r="983" spans="1:34" ht="14.4" hidden="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c r="AB983" s="66"/>
      <c r="AC983" s="66"/>
      <c r="AD983" s="66"/>
      <c r="AE983" s="66"/>
      <c r="AF983" s="66"/>
      <c r="AG983" s="66"/>
      <c r="AH983" s="66"/>
    </row>
    <row r="984" spans="1:34" ht="14.4" hidden="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c r="AB984" s="66"/>
      <c r="AC984" s="66"/>
      <c r="AD984" s="66"/>
      <c r="AE984" s="66"/>
      <c r="AF984" s="66"/>
      <c r="AG984" s="66"/>
      <c r="AH984" s="66"/>
    </row>
    <row r="985" spans="1:34" ht="14.4" hidden="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c r="AB985" s="66"/>
      <c r="AC985" s="66"/>
      <c r="AD985" s="66"/>
      <c r="AE985" s="66"/>
      <c r="AF985" s="66"/>
      <c r="AG985" s="66"/>
      <c r="AH985" s="66"/>
    </row>
    <row r="986" spans="1:34" ht="14.4" hidden="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c r="AB986" s="66"/>
      <c r="AC986" s="66"/>
      <c r="AD986" s="66"/>
      <c r="AE986" s="66"/>
      <c r="AF986" s="66"/>
      <c r="AG986" s="66"/>
      <c r="AH986" s="66"/>
    </row>
    <row r="987" spans="1:34" ht="14.4" hidden="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c r="AB987" s="66"/>
      <c r="AC987" s="66"/>
      <c r="AD987" s="66"/>
      <c r="AE987" s="66"/>
      <c r="AF987" s="66"/>
      <c r="AG987" s="66"/>
      <c r="AH987" s="66"/>
    </row>
    <row r="988" spans="1:34" ht="14.4" hidden="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c r="AB988" s="66"/>
      <c r="AC988" s="66"/>
      <c r="AD988" s="66"/>
      <c r="AE988" s="66"/>
      <c r="AF988" s="66"/>
      <c r="AG988" s="66"/>
      <c r="AH988" s="66"/>
    </row>
    <row r="989" spans="1:34" ht="14.4" hidden="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c r="AB989" s="66"/>
      <c r="AC989" s="66"/>
      <c r="AD989" s="66"/>
      <c r="AE989" s="66"/>
      <c r="AF989" s="66"/>
      <c r="AG989" s="66"/>
      <c r="AH989" s="66"/>
    </row>
    <row r="990" spans="1:34" ht="14.4" hidden="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c r="AB990" s="66"/>
      <c r="AC990" s="66"/>
      <c r="AD990" s="66"/>
      <c r="AE990" s="66"/>
      <c r="AF990" s="66"/>
      <c r="AG990" s="66"/>
      <c r="AH990" s="66"/>
    </row>
    <row r="991" spans="1:34" ht="14.4" hidden="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c r="AB991" s="66"/>
      <c r="AC991" s="66"/>
      <c r="AD991" s="66"/>
      <c r="AE991" s="66"/>
      <c r="AF991" s="66"/>
      <c r="AG991" s="66"/>
      <c r="AH991" s="66"/>
    </row>
    <row r="992" spans="1:34" ht="14.4" hidden="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c r="AB992" s="66"/>
      <c r="AC992" s="66"/>
      <c r="AD992" s="66"/>
      <c r="AE992" s="66"/>
      <c r="AF992" s="66"/>
      <c r="AG992" s="66"/>
      <c r="AH992" s="66"/>
    </row>
    <row r="993" spans="1:34" ht="14.4" hidden="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c r="AB993" s="66"/>
      <c r="AC993" s="66"/>
      <c r="AD993" s="66"/>
      <c r="AE993" s="66"/>
      <c r="AF993" s="66"/>
      <c r="AG993" s="66"/>
      <c r="AH993" s="66"/>
    </row>
    <row r="994" spans="1:34" ht="14.4" hidden="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c r="AA994" s="66"/>
      <c r="AB994" s="66"/>
      <c r="AC994" s="66"/>
      <c r="AD994" s="66"/>
      <c r="AE994" s="66"/>
      <c r="AF994" s="66"/>
      <c r="AG994" s="66"/>
      <c r="AH994" s="66"/>
    </row>
    <row r="995" spans="1:34" ht="14.4" hidden="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c r="AA995" s="66"/>
      <c r="AB995" s="66"/>
      <c r="AC995" s="66"/>
      <c r="AD995" s="66"/>
      <c r="AE995" s="66"/>
      <c r="AF995" s="66"/>
      <c r="AG995" s="66"/>
      <c r="AH995" s="66"/>
    </row>
    <row r="996" spans="1:34" ht="14.4" hidden="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c r="AA996" s="66"/>
      <c r="AB996" s="66"/>
      <c r="AC996" s="66"/>
      <c r="AD996" s="66"/>
      <c r="AE996" s="66"/>
      <c r="AF996" s="66"/>
      <c r="AG996" s="66"/>
      <c r="AH996" s="66"/>
    </row>
    <row r="997" spans="1:34" ht="14.4" hidden="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c r="AA997" s="66"/>
      <c r="AB997" s="66"/>
      <c r="AC997" s="66"/>
      <c r="AD997" s="66"/>
      <c r="AE997" s="66"/>
      <c r="AF997" s="66"/>
      <c r="AG997" s="66"/>
      <c r="AH997" s="66"/>
    </row>
    <row r="998" spans="1:34" ht="14.4" hidden="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c r="AA998" s="66"/>
      <c r="AB998" s="66"/>
      <c r="AC998" s="66"/>
      <c r="AD998" s="66"/>
      <c r="AE998" s="66"/>
      <c r="AF998" s="66"/>
      <c r="AG998" s="66"/>
      <c r="AH998" s="66"/>
    </row>
    <row r="999" spans="1:34" ht="14.4" hidden="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c r="AA999" s="66"/>
      <c r="AB999" s="66"/>
      <c r="AC999" s="66"/>
      <c r="AD999" s="66"/>
      <c r="AE999" s="66"/>
      <c r="AF999" s="66"/>
      <c r="AG999" s="66"/>
      <c r="AH999" s="66"/>
    </row>
    <row r="1000" spans="1:34" ht="14.4" hidden="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66"/>
      <c r="AC1000" s="66"/>
      <c r="AD1000" s="66"/>
      <c r="AE1000" s="66"/>
      <c r="AF1000" s="66"/>
      <c r="AG1000" s="66"/>
      <c r="AH1000" s="66"/>
    </row>
    <row r="1001" spans="1:34" ht="14.4" hidden="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c r="AA1001" s="66"/>
      <c r="AB1001" s="66"/>
      <c r="AC1001" s="66"/>
      <c r="AD1001" s="66"/>
      <c r="AE1001" s="66"/>
      <c r="AF1001" s="66"/>
      <c r="AG1001" s="66"/>
      <c r="AH1001" s="66"/>
    </row>
  </sheetData>
  <mergeCells count="23">
    <mergeCell ref="A12:P12"/>
    <mergeCell ref="A13:P13"/>
    <mergeCell ref="A14:P14"/>
    <mergeCell ref="I2:I3"/>
    <mergeCell ref="J2:J3"/>
    <mergeCell ref="K2:K3"/>
    <mergeCell ref="L2:M2"/>
    <mergeCell ref="G2:G3"/>
    <mergeCell ref="H2:H3"/>
    <mergeCell ref="A10:C10"/>
    <mergeCell ref="D10:P10"/>
    <mergeCell ref="A11:P11"/>
    <mergeCell ref="V3:Y3"/>
    <mergeCell ref="Z3:AC3"/>
    <mergeCell ref="AD3:AG3"/>
    <mergeCell ref="A1:P1"/>
    <mergeCell ref="A2:A3"/>
    <mergeCell ref="B2:B3"/>
    <mergeCell ref="C2:C3"/>
    <mergeCell ref="D2:D3"/>
    <mergeCell ref="E2:E3"/>
    <mergeCell ref="F2:F3"/>
    <mergeCell ref="N2:P3"/>
  </mergeCells>
  <printOptions horizontalCentered="1" verticalCentered="1"/>
  <pageMargins left="0.75" right="0.75" top="0.7" bottom="0.7" header="0" footer="0"/>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4"/>
  <sheetViews>
    <sheetView workbookViewId="0">
      <selection activeCell="I1" sqref="I1"/>
    </sheetView>
  </sheetViews>
  <sheetFormatPr defaultColWidth="14.44140625" defaultRowHeight="15" customHeight="1"/>
  <cols>
    <col min="1" max="1" width="4.5546875" customWidth="1"/>
    <col min="2" max="2" width="44.109375" customWidth="1"/>
    <col min="3" max="3" width="19" customWidth="1"/>
    <col min="4" max="4" width="14.88671875" customWidth="1"/>
    <col min="5" max="5" width="20.33203125" customWidth="1"/>
    <col min="6" max="6" width="14.6640625" customWidth="1"/>
  </cols>
  <sheetData>
    <row r="1" spans="1:6" ht="27.75" customHeight="1">
      <c r="A1" s="329" t="s">
        <v>137</v>
      </c>
      <c r="B1" s="239"/>
      <c r="C1" s="239"/>
      <c r="D1" s="239"/>
      <c r="E1" s="239"/>
      <c r="F1" s="243"/>
    </row>
    <row r="2" spans="1:6" ht="35.25" customHeight="1">
      <c r="A2" s="326" t="s">
        <v>138</v>
      </c>
      <c r="B2" s="239"/>
      <c r="C2" s="239"/>
      <c r="D2" s="239"/>
      <c r="E2" s="239"/>
      <c r="F2" s="243"/>
    </row>
    <row r="3" spans="1:6" ht="19.5" customHeight="1">
      <c r="A3" s="104" t="s">
        <v>139</v>
      </c>
      <c r="B3" s="330" t="s">
        <v>37</v>
      </c>
      <c r="C3" s="304"/>
      <c r="D3" s="331" t="s">
        <v>140</v>
      </c>
      <c r="E3" s="304"/>
      <c r="F3" s="105" t="s">
        <v>40</v>
      </c>
    </row>
    <row r="4" spans="1:6" ht="18" customHeight="1">
      <c r="A4" s="70">
        <v>1</v>
      </c>
      <c r="B4" s="287" t="s">
        <v>141</v>
      </c>
      <c r="C4" s="243"/>
      <c r="D4" s="275" t="s">
        <v>142</v>
      </c>
      <c r="E4" s="243"/>
      <c r="F4" s="62"/>
    </row>
    <row r="5" spans="1:6" ht="18" customHeight="1">
      <c r="A5" s="70">
        <v>2</v>
      </c>
      <c r="B5" s="287" t="s">
        <v>143</v>
      </c>
      <c r="C5" s="243"/>
      <c r="D5" s="275" t="s">
        <v>144</v>
      </c>
      <c r="E5" s="243"/>
      <c r="F5" s="62"/>
    </row>
    <row r="6" spans="1:6" ht="18" customHeight="1">
      <c r="A6" s="106">
        <v>3</v>
      </c>
      <c r="B6" s="317" t="s">
        <v>145</v>
      </c>
      <c r="C6" s="243"/>
      <c r="D6" s="70" t="s">
        <v>146</v>
      </c>
      <c r="E6" s="70" t="s">
        <v>147</v>
      </c>
      <c r="F6" s="107" t="s">
        <v>40</v>
      </c>
    </row>
    <row r="7" spans="1:6" ht="26.25" customHeight="1">
      <c r="A7" s="322"/>
      <c r="B7" s="328" t="s">
        <v>148</v>
      </c>
      <c r="C7" s="29" t="s">
        <v>149</v>
      </c>
      <c r="D7" s="108"/>
      <c r="E7" s="23" t="s">
        <v>150</v>
      </c>
      <c r="F7" s="106"/>
    </row>
    <row r="8" spans="1:6" ht="26.25" customHeight="1">
      <c r="A8" s="323"/>
      <c r="B8" s="323"/>
      <c r="C8" s="29" t="s">
        <v>151</v>
      </c>
      <c r="D8" s="109"/>
      <c r="E8" s="23" t="s">
        <v>152</v>
      </c>
      <c r="F8" s="106"/>
    </row>
    <row r="9" spans="1:6" ht="26.25" customHeight="1">
      <c r="A9" s="323"/>
      <c r="B9" s="323"/>
      <c r="C9" s="29" t="s">
        <v>153</v>
      </c>
      <c r="D9" s="109"/>
      <c r="E9" s="23" t="s">
        <v>154</v>
      </c>
      <c r="F9" s="106"/>
    </row>
    <row r="10" spans="1:6" ht="39.75" customHeight="1">
      <c r="A10" s="310"/>
      <c r="B10" s="317" t="s">
        <v>155</v>
      </c>
      <c r="C10" s="243"/>
      <c r="D10" s="110"/>
      <c r="E10" s="111"/>
      <c r="F10" s="49"/>
    </row>
    <row r="11" spans="1:6" ht="30.75" customHeight="1">
      <c r="A11" s="326" t="s">
        <v>156</v>
      </c>
      <c r="B11" s="239"/>
      <c r="C11" s="239"/>
      <c r="D11" s="239"/>
      <c r="E11" s="239"/>
      <c r="F11" s="243"/>
    </row>
    <row r="12" spans="1:6" ht="14.25" customHeight="1">
      <c r="A12" s="112" t="s">
        <v>139</v>
      </c>
      <c r="B12" s="327" t="s">
        <v>157</v>
      </c>
      <c r="C12" s="296"/>
      <c r="D12" s="297" t="s">
        <v>158</v>
      </c>
      <c r="E12" s="296"/>
      <c r="F12" s="113" t="s">
        <v>40</v>
      </c>
    </row>
    <row r="13" spans="1:6" ht="18.75" customHeight="1">
      <c r="A13" s="49">
        <v>1</v>
      </c>
      <c r="B13" s="317" t="s">
        <v>159</v>
      </c>
      <c r="C13" s="243"/>
      <c r="D13" s="242" t="s">
        <v>160</v>
      </c>
      <c r="E13" s="243"/>
      <c r="F13" s="114"/>
    </row>
    <row r="14" spans="1:6" ht="18.75" customHeight="1">
      <c r="A14" s="49">
        <v>2</v>
      </c>
      <c r="B14" s="115" t="s">
        <v>161</v>
      </c>
      <c r="C14" s="20"/>
      <c r="D14" s="242" t="s">
        <v>162</v>
      </c>
      <c r="E14" s="243"/>
      <c r="F14" s="116"/>
    </row>
    <row r="15" spans="1:6" ht="30.75" customHeight="1">
      <c r="A15" s="49">
        <v>3</v>
      </c>
      <c r="B15" s="324" t="s">
        <v>163</v>
      </c>
      <c r="C15" s="255"/>
      <c r="D15" s="325" t="s">
        <v>164</v>
      </c>
      <c r="E15" s="257"/>
      <c r="F15" s="116"/>
    </row>
    <row r="16" spans="1:6" ht="24.75" customHeight="1">
      <c r="A16" s="49">
        <v>4</v>
      </c>
      <c r="B16" s="317" t="s">
        <v>165</v>
      </c>
      <c r="C16" s="243"/>
      <c r="D16" s="285" t="s">
        <v>8</v>
      </c>
      <c r="E16" s="243"/>
      <c r="F16" s="116"/>
    </row>
    <row r="17" spans="1:6" ht="14.25" customHeight="1">
      <c r="A17" s="319" t="s">
        <v>166</v>
      </c>
      <c r="B17" s="239"/>
      <c r="C17" s="239"/>
      <c r="D17" s="239"/>
      <c r="E17" s="239"/>
      <c r="F17" s="243"/>
    </row>
    <row r="18" spans="1:6" ht="22.5" customHeight="1">
      <c r="A18" s="299" t="s">
        <v>167</v>
      </c>
      <c r="B18" s="239"/>
      <c r="C18" s="239"/>
      <c r="D18" s="239"/>
      <c r="E18" s="239"/>
      <c r="F18" s="243"/>
    </row>
    <row r="19" spans="1:6" ht="14.25" customHeight="1">
      <c r="A19" s="117" t="s">
        <v>139</v>
      </c>
      <c r="B19" s="283" t="s">
        <v>157</v>
      </c>
      <c r="C19" s="243"/>
      <c r="D19" s="286" t="s">
        <v>140</v>
      </c>
      <c r="E19" s="243"/>
      <c r="F19" s="113" t="s">
        <v>168</v>
      </c>
    </row>
    <row r="20" spans="1:6" ht="14.25" customHeight="1">
      <c r="A20" s="106">
        <v>1</v>
      </c>
      <c r="B20" s="318" t="s">
        <v>169</v>
      </c>
      <c r="C20" s="243"/>
      <c r="D20" s="320"/>
      <c r="E20" s="257"/>
      <c r="F20" s="322" t="s">
        <v>170</v>
      </c>
    </row>
    <row r="21" spans="1:6" ht="14.25" customHeight="1">
      <c r="A21" s="106">
        <v>2</v>
      </c>
      <c r="B21" s="318" t="s">
        <v>171</v>
      </c>
      <c r="C21" s="243"/>
      <c r="D21" s="321"/>
      <c r="E21" s="258"/>
      <c r="F21" s="323"/>
    </row>
    <row r="22" spans="1:6" ht="14.25" customHeight="1">
      <c r="A22" s="106">
        <v>3</v>
      </c>
      <c r="B22" s="318" t="s">
        <v>161</v>
      </c>
      <c r="C22" s="243"/>
      <c r="D22" s="321"/>
      <c r="E22" s="258"/>
      <c r="F22" s="323"/>
    </row>
    <row r="23" spans="1:6" ht="14.25" customHeight="1">
      <c r="A23" s="106">
        <v>4</v>
      </c>
      <c r="B23" s="318" t="s">
        <v>172</v>
      </c>
      <c r="C23" s="243"/>
      <c r="D23" s="321"/>
      <c r="E23" s="258"/>
      <c r="F23" s="323"/>
    </row>
    <row r="24" spans="1:6" ht="28.5" customHeight="1">
      <c r="A24" s="106">
        <v>5</v>
      </c>
      <c r="B24" s="318" t="s">
        <v>173</v>
      </c>
      <c r="C24" s="243"/>
      <c r="D24" s="312"/>
      <c r="E24" s="296"/>
      <c r="F24" s="310"/>
    </row>
  </sheetData>
  <mergeCells count="33">
    <mergeCell ref="A1:F1"/>
    <mergeCell ref="A2:F2"/>
    <mergeCell ref="B3:C3"/>
    <mergeCell ref="D3:E3"/>
    <mergeCell ref="B4:C4"/>
    <mergeCell ref="D4:E4"/>
    <mergeCell ref="D5:E5"/>
    <mergeCell ref="B5:C5"/>
    <mergeCell ref="B6:C6"/>
    <mergeCell ref="A7:A10"/>
    <mergeCell ref="B7:B9"/>
    <mergeCell ref="B10:C10"/>
    <mergeCell ref="A11:F11"/>
    <mergeCell ref="D12:E12"/>
    <mergeCell ref="B12:C12"/>
    <mergeCell ref="B13:C13"/>
    <mergeCell ref="D13:E13"/>
    <mergeCell ref="D14:E14"/>
    <mergeCell ref="B15:C15"/>
    <mergeCell ref="D15:E15"/>
    <mergeCell ref="B16:C16"/>
    <mergeCell ref="B20:C20"/>
    <mergeCell ref="B21:C21"/>
    <mergeCell ref="B22:C22"/>
    <mergeCell ref="B23:C23"/>
    <mergeCell ref="D16:E16"/>
    <mergeCell ref="A17:F17"/>
    <mergeCell ref="A18:F18"/>
    <mergeCell ref="B19:C19"/>
    <mergeCell ref="D19:E19"/>
    <mergeCell ref="D20:E24"/>
    <mergeCell ref="F20:F24"/>
    <mergeCell ref="B24:C24"/>
  </mergeCells>
  <pageMargins left="0.7" right="0.7"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35"/>
  <sheetViews>
    <sheetView tabSelected="1" topLeftCell="A127" zoomScale="85" zoomScaleNormal="85" workbookViewId="0">
      <selection activeCell="F99" sqref="F99"/>
    </sheetView>
  </sheetViews>
  <sheetFormatPr defaultColWidth="14.44140625" defaultRowHeight="15" customHeight="1"/>
  <cols>
    <col min="1" max="1" width="6.88671875" customWidth="1"/>
    <col min="2" max="2" width="32.33203125" customWidth="1"/>
    <col min="3" max="3" width="4.109375" customWidth="1"/>
    <col min="4" max="4" width="4.88671875" customWidth="1"/>
    <col min="5" max="5" width="7.33203125" customWidth="1"/>
    <col min="6" max="6" width="50.109375" customWidth="1"/>
    <col min="7" max="7" width="50.44140625" customWidth="1"/>
    <col min="8" max="8" width="7" customWidth="1"/>
    <col min="9" max="9" width="4.109375" customWidth="1"/>
    <col min="10" max="10" width="4.6640625" customWidth="1"/>
    <col min="11" max="11" width="5.109375" customWidth="1"/>
    <col min="12" max="12" width="34.44140625" customWidth="1"/>
  </cols>
  <sheetData>
    <row r="1" spans="1:12" ht="39.75" customHeight="1">
      <c r="A1" s="353" t="s">
        <v>174</v>
      </c>
      <c r="B1" s="239"/>
      <c r="C1" s="239"/>
      <c r="D1" s="239"/>
      <c r="E1" s="239"/>
      <c r="F1" s="239"/>
      <c r="G1" s="239"/>
      <c r="H1" s="239"/>
      <c r="I1" s="239"/>
      <c r="J1" s="239"/>
      <c r="K1" s="239"/>
      <c r="L1" s="243"/>
    </row>
    <row r="2" spans="1:12" ht="30.75" customHeight="1">
      <c r="A2" s="354" t="s">
        <v>175</v>
      </c>
      <c r="B2" s="255"/>
      <c r="C2" s="255"/>
      <c r="D2" s="255"/>
      <c r="E2" s="257"/>
      <c r="F2" s="67" t="s">
        <v>176</v>
      </c>
      <c r="G2" s="355" t="s">
        <v>177</v>
      </c>
      <c r="H2" s="239"/>
      <c r="I2" s="239"/>
      <c r="J2" s="239"/>
      <c r="K2" s="239"/>
      <c r="L2" s="243"/>
    </row>
    <row r="3" spans="1:12" ht="78.75" customHeight="1">
      <c r="A3" s="321"/>
      <c r="B3" s="234"/>
      <c r="C3" s="234"/>
      <c r="D3" s="234"/>
      <c r="E3" s="258"/>
      <c r="F3" s="118" t="s">
        <v>178</v>
      </c>
      <c r="G3" s="356" t="s">
        <v>179</v>
      </c>
      <c r="H3" s="239"/>
      <c r="I3" s="239"/>
      <c r="J3" s="239"/>
      <c r="K3" s="239"/>
      <c r="L3" s="243"/>
    </row>
    <row r="4" spans="1:12" ht="76.5" customHeight="1">
      <c r="A4" s="321"/>
      <c r="B4" s="234"/>
      <c r="C4" s="234"/>
      <c r="D4" s="234"/>
      <c r="E4" s="258"/>
      <c r="F4" s="118" t="s">
        <v>180</v>
      </c>
      <c r="G4" s="356" t="s">
        <v>181</v>
      </c>
      <c r="H4" s="239"/>
      <c r="I4" s="239"/>
      <c r="J4" s="239"/>
      <c r="K4" s="239"/>
      <c r="L4" s="243"/>
    </row>
    <row r="5" spans="1:12" ht="63.75" customHeight="1">
      <c r="A5" s="312"/>
      <c r="B5" s="262"/>
      <c r="C5" s="262"/>
      <c r="D5" s="262"/>
      <c r="E5" s="296"/>
      <c r="F5" s="118" t="s">
        <v>182</v>
      </c>
      <c r="G5" s="356" t="s">
        <v>183</v>
      </c>
      <c r="H5" s="239"/>
      <c r="I5" s="239"/>
      <c r="J5" s="239"/>
      <c r="K5" s="239"/>
      <c r="L5" s="243"/>
    </row>
    <row r="6" spans="1:12" ht="30" customHeight="1">
      <c r="A6" s="340" t="s">
        <v>184</v>
      </c>
      <c r="B6" s="239"/>
      <c r="C6" s="239"/>
      <c r="D6" s="239"/>
      <c r="E6" s="239"/>
      <c r="F6" s="239"/>
      <c r="G6" s="239"/>
      <c r="H6" s="239"/>
      <c r="I6" s="239"/>
      <c r="J6" s="239"/>
      <c r="K6" s="239"/>
      <c r="L6" s="243"/>
    </row>
    <row r="7" spans="1:12" ht="69.75" customHeight="1">
      <c r="A7" s="343" t="s">
        <v>185</v>
      </c>
      <c r="B7" s="243"/>
      <c r="C7" s="339" t="s">
        <v>186</v>
      </c>
      <c r="D7" s="239"/>
      <c r="E7" s="243"/>
      <c r="F7" s="119" t="s">
        <v>187</v>
      </c>
      <c r="G7" s="119" t="s">
        <v>188</v>
      </c>
      <c r="H7" s="120" t="s">
        <v>189</v>
      </c>
      <c r="I7" s="120" t="s">
        <v>190</v>
      </c>
      <c r="J7" s="121" t="s">
        <v>191</v>
      </c>
      <c r="K7" s="122" t="s">
        <v>192</v>
      </c>
      <c r="L7" s="123" t="s">
        <v>40</v>
      </c>
    </row>
    <row r="8" spans="1:12" ht="12" customHeight="1">
      <c r="A8" s="124" t="s">
        <v>193</v>
      </c>
      <c r="B8" s="125" t="s">
        <v>194</v>
      </c>
      <c r="C8" s="126" t="s">
        <v>195</v>
      </c>
      <c r="D8" s="126" t="s">
        <v>196</v>
      </c>
      <c r="E8" s="127" t="s">
        <v>197</v>
      </c>
      <c r="F8" s="128"/>
      <c r="G8" s="129"/>
      <c r="H8" s="130" t="str">
        <f>IF(Hadapan!B30&lt;&gt;"","B",IF(Hadapan!P30&lt;&gt;"","P",IF(Hadapan!B32&lt;&gt;"","T","")))</f>
        <v>T</v>
      </c>
      <c r="I8" s="131"/>
      <c r="J8" s="132"/>
      <c r="K8" s="132" t="str">
        <f t="array" ref="K8:K28">IF(F8:F28="","",IF((I8:I28*J8:J28)=0,"",(I8:I28*J8:J28)))</f>
        <v/>
      </c>
      <c r="L8" s="133"/>
    </row>
    <row r="9" spans="1:12" ht="180.75" customHeight="1">
      <c r="A9" s="134" t="s">
        <v>198</v>
      </c>
      <c r="B9" s="135" t="s">
        <v>199</v>
      </c>
      <c r="C9" s="136" t="s">
        <v>200</v>
      </c>
      <c r="D9" s="136"/>
      <c r="E9" s="137" t="s">
        <v>200</v>
      </c>
      <c r="F9" s="138" t="s">
        <v>201</v>
      </c>
      <c r="G9" s="138" t="s">
        <v>202</v>
      </c>
      <c r="H9" s="139" t="s">
        <v>203</v>
      </c>
      <c r="I9" s="140">
        <v>1</v>
      </c>
      <c r="J9" s="141"/>
      <c r="K9" s="141" t="str">
        <v/>
      </c>
      <c r="L9" s="141"/>
    </row>
    <row r="10" spans="1:12" ht="19.5" customHeight="1">
      <c r="A10" s="124" t="s">
        <v>204</v>
      </c>
      <c r="B10" s="125" t="s">
        <v>205</v>
      </c>
      <c r="C10" s="126" t="s">
        <v>195</v>
      </c>
      <c r="D10" s="126" t="s">
        <v>196</v>
      </c>
      <c r="E10" s="126" t="s">
        <v>197</v>
      </c>
      <c r="F10" s="128"/>
      <c r="G10" s="129"/>
      <c r="H10" s="131"/>
      <c r="I10" s="131"/>
      <c r="J10" s="132"/>
      <c r="K10" s="132" t="str">
        <v/>
      </c>
      <c r="L10" s="142"/>
    </row>
    <row r="11" spans="1:12" ht="88.5" customHeight="1">
      <c r="A11" s="134" t="s">
        <v>206</v>
      </c>
      <c r="B11" s="135" t="s">
        <v>207</v>
      </c>
      <c r="C11" s="136" t="s">
        <v>200</v>
      </c>
      <c r="D11" s="136"/>
      <c r="E11" s="137" t="s">
        <v>200</v>
      </c>
      <c r="F11" s="143" t="s">
        <v>208</v>
      </c>
      <c r="G11" s="143" t="s">
        <v>209</v>
      </c>
      <c r="H11" s="144" t="s">
        <v>196</v>
      </c>
      <c r="I11" s="145">
        <v>1</v>
      </c>
      <c r="J11" s="143"/>
      <c r="K11" s="141" t="str">
        <v/>
      </c>
      <c r="L11" s="143"/>
    </row>
    <row r="12" spans="1:12" ht="133.5" customHeight="1">
      <c r="A12" s="134" t="s">
        <v>210</v>
      </c>
      <c r="B12" s="143" t="s">
        <v>211</v>
      </c>
      <c r="C12" s="136" t="s">
        <v>200</v>
      </c>
      <c r="D12" s="136"/>
      <c r="E12" s="137" t="s">
        <v>200</v>
      </c>
      <c r="F12" s="135" t="s">
        <v>212</v>
      </c>
      <c r="G12" s="135" t="s">
        <v>213</v>
      </c>
      <c r="H12" s="144" t="s">
        <v>196</v>
      </c>
      <c r="I12" s="145">
        <v>1</v>
      </c>
      <c r="J12" s="143"/>
      <c r="K12" s="143" t="str">
        <v/>
      </c>
      <c r="L12" s="143"/>
    </row>
    <row r="13" spans="1:12" ht="82.5" customHeight="1">
      <c r="A13" s="134" t="s">
        <v>214</v>
      </c>
      <c r="B13" s="135" t="s">
        <v>215</v>
      </c>
      <c r="C13" s="136" t="s">
        <v>200</v>
      </c>
      <c r="D13" s="136"/>
      <c r="E13" s="137" t="s">
        <v>200</v>
      </c>
      <c r="F13" s="135" t="s">
        <v>216</v>
      </c>
      <c r="G13" s="135" t="s">
        <v>217</v>
      </c>
      <c r="H13" s="144" t="s">
        <v>196</v>
      </c>
      <c r="I13" s="145">
        <v>1</v>
      </c>
      <c r="J13" s="143"/>
      <c r="K13" s="143" t="str">
        <v/>
      </c>
      <c r="L13" s="143"/>
    </row>
    <row r="14" spans="1:12" ht="158.25" customHeight="1">
      <c r="A14" s="134" t="s">
        <v>218</v>
      </c>
      <c r="B14" s="135" t="s">
        <v>219</v>
      </c>
      <c r="C14" s="136" t="s">
        <v>200</v>
      </c>
      <c r="D14" s="136"/>
      <c r="E14" s="137" t="s">
        <v>200</v>
      </c>
      <c r="F14" s="135" t="s">
        <v>220</v>
      </c>
      <c r="G14" s="135" t="s">
        <v>217</v>
      </c>
      <c r="H14" s="144" t="s">
        <v>196</v>
      </c>
      <c r="I14" s="145">
        <v>1</v>
      </c>
      <c r="J14" s="143"/>
      <c r="K14" s="143" t="str">
        <v/>
      </c>
      <c r="L14" s="143"/>
    </row>
    <row r="15" spans="1:12" ht="105.6">
      <c r="A15" s="134" t="s">
        <v>221</v>
      </c>
      <c r="B15" s="135" t="s">
        <v>222</v>
      </c>
      <c r="C15" s="136" t="s">
        <v>200</v>
      </c>
      <c r="D15" s="136"/>
      <c r="E15" s="137" t="s">
        <v>200</v>
      </c>
      <c r="F15" s="135" t="s">
        <v>664</v>
      </c>
      <c r="G15" s="135" t="s">
        <v>223</v>
      </c>
      <c r="H15" s="144" t="s">
        <v>203</v>
      </c>
      <c r="I15" s="145">
        <v>1</v>
      </c>
      <c r="J15" s="143"/>
      <c r="K15" s="143" t="str">
        <v/>
      </c>
      <c r="L15" s="143"/>
    </row>
    <row r="16" spans="1:12" ht="19.5" customHeight="1">
      <c r="A16" s="125">
        <v>1.3</v>
      </c>
      <c r="B16" s="125" t="s">
        <v>224</v>
      </c>
      <c r="C16" s="126" t="s">
        <v>195</v>
      </c>
      <c r="D16" s="126" t="s">
        <v>196</v>
      </c>
      <c r="E16" s="126" t="s">
        <v>197</v>
      </c>
      <c r="F16" s="128"/>
      <c r="G16" s="129"/>
      <c r="H16" s="131"/>
      <c r="I16" s="131"/>
      <c r="J16" s="132"/>
      <c r="K16" s="132" t="str">
        <v/>
      </c>
      <c r="L16" s="142"/>
    </row>
    <row r="17" spans="1:12" ht="72.75" customHeight="1">
      <c r="A17" s="134" t="s">
        <v>225</v>
      </c>
      <c r="B17" s="143" t="s">
        <v>226</v>
      </c>
      <c r="C17" s="136" t="s">
        <v>200</v>
      </c>
      <c r="D17" s="136"/>
      <c r="E17" s="137" t="s">
        <v>200</v>
      </c>
      <c r="F17" s="135" t="s">
        <v>227</v>
      </c>
      <c r="G17" s="135" t="s">
        <v>217</v>
      </c>
      <c r="H17" s="144" t="s">
        <v>203</v>
      </c>
      <c r="I17" s="145">
        <v>3</v>
      </c>
      <c r="J17" s="143"/>
      <c r="K17" s="143" t="str">
        <v/>
      </c>
      <c r="L17" s="143"/>
    </row>
    <row r="18" spans="1:12" ht="96" customHeight="1">
      <c r="A18" s="134" t="s">
        <v>228</v>
      </c>
      <c r="B18" s="135" t="s">
        <v>229</v>
      </c>
      <c r="C18" s="136" t="s">
        <v>200</v>
      </c>
      <c r="D18" s="137" t="s">
        <v>200</v>
      </c>
      <c r="E18" s="137" t="s">
        <v>200</v>
      </c>
      <c r="F18" s="135" t="s">
        <v>230</v>
      </c>
      <c r="G18" s="135" t="s">
        <v>217</v>
      </c>
      <c r="H18" s="144" t="s">
        <v>203</v>
      </c>
      <c r="I18" s="145">
        <v>3</v>
      </c>
      <c r="J18" s="143"/>
      <c r="K18" s="143" t="str">
        <v/>
      </c>
      <c r="L18" s="143"/>
    </row>
    <row r="19" spans="1:12" ht="68.25" customHeight="1">
      <c r="A19" s="134" t="s">
        <v>231</v>
      </c>
      <c r="B19" s="135" t="s">
        <v>232</v>
      </c>
      <c r="C19" s="136" t="s">
        <v>200</v>
      </c>
      <c r="D19" s="146" t="s">
        <v>200</v>
      </c>
      <c r="E19" s="146" t="s">
        <v>200</v>
      </c>
      <c r="F19" s="135" t="s">
        <v>233</v>
      </c>
      <c r="G19" s="135" t="s">
        <v>234</v>
      </c>
      <c r="H19" s="144" t="s">
        <v>196</v>
      </c>
      <c r="I19" s="145">
        <v>3</v>
      </c>
      <c r="J19" s="143"/>
      <c r="K19" s="143" t="str">
        <v/>
      </c>
      <c r="L19" s="143"/>
    </row>
    <row r="20" spans="1:12" ht="65.25" customHeight="1">
      <c r="A20" s="134" t="s">
        <v>235</v>
      </c>
      <c r="B20" s="143" t="s">
        <v>236</v>
      </c>
      <c r="C20" s="136" t="s">
        <v>200</v>
      </c>
      <c r="D20" s="146" t="s">
        <v>200</v>
      </c>
      <c r="E20" s="146" t="s">
        <v>200</v>
      </c>
      <c r="F20" s="135" t="s">
        <v>237</v>
      </c>
      <c r="G20" s="135" t="s">
        <v>238</v>
      </c>
      <c r="H20" s="144" t="s">
        <v>196</v>
      </c>
      <c r="I20" s="145">
        <v>3</v>
      </c>
      <c r="J20" s="143"/>
      <c r="K20" s="143" t="str">
        <v/>
      </c>
      <c r="L20" s="143"/>
    </row>
    <row r="21" spans="1:12" ht="18" customHeight="1">
      <c r="A21" s="125">
        <v>1.4</v>
      </c>
      <c r="B21" s="147" t="s">
        <v>239</v>
      </c>
      <c r="C21" s="126" t="s">
        <v>195</v>
      </c>
      <c r="D21" s="126" t="s">
        <v>196</v>
      </c>
      <c r="E21" s="126" t="s">
        <v>197</v>
      </c>
      <c r="F21" s="128"/>
      <c r="G21" s="129"/>
      <c r="H21" s="131"/>
      <c r="I21" s="131"/>
      <c r="J21" s="132"/>
      <c r="K21" s="132" t="str">
        <v/>
      </c>
      <c r="L21" s="142"/>
    </row>
    <row r="22" spans="1:12" ht="102.75" customHeight="1">
      <c r="A22" s="134" t="s">
        <v>240</v>
      </c>
      <c r="B22" s="135" t="s">
        <v>241</v>
      </c>
      <c r="C22" s="136"/>
      <c r="D22" s="137" t="s">
        <v>200</v>
      </c>
      <c r="E22" s="136"/>
      <c r="F22" s="143" t="s">
        <v>242</v>
      </c>
      <c r="G22" s="143" t="s">
        <v>243</v>
      </c>
      <c r="H22" s="144" t="s">
        <v>203</v>
      </c>
      <c r="I22" s="145">
        <v>3</v>
      </c>
      <c r="J22" s="143"/>
      <c r="K22" s="143" t="str">
        <v/>
      </c>
      <c r="L22" s="143"/>
    </row>
    <row r="23" spans="1:12" ht="129.75" customHeight="1">
      <c r="A23" s="134" t="s">
        <v>244</v>
      </c>
      <c r="B23" s="143" t="s">
        <v>245</v>
      </c>
      <c r="C23" s="136"/>
      <c r="D23" s="137" t="s">
        <v>200</v>
      </c>
      <c r="E23" s="136"/>
      <c r="F23" s="135" t="s">
        <v>246</v>
      </c>
      <c r="G23" s="135" t="s">
        <v>247</v>
      </c>
      <c r="H23" s="144" t="s">
        <v>203</v>
      </c>
      <c r="I23" s="145">
        <v>1</v>
      </c>
      <c r="J23" s="143"/>
      <c r="K23" s="143" t="str">
        <v/>
      </c>
      <c r="L23" s="143"/>
    </row>
    <row r="24" spans="1:12" ht="114" customHeight="1">
      <c r="A24" s="134" t="s">
        <v>248</v>
      </c>
      <c r="B24" s="135" t="s">
        <v>249</v>
      </c>
      <c r="C24" s="136" t="s">
        <v>200</v>
      </c>
      <c r="D24" s="136"/>
      <c r="E24" s="137" t="s">
        <v>200</v>
      </c>
      <c r="F24" s="143" t="s">
        <v>250</v>
      </c>
      <c r="G24" s="143" t="s">
        <v>251</v>
      </c>
      <c r="H24" s="144" t="s">
        <v>196</v>
      </c>
      <c r="I24" s="145">
        <v>3</v>
      </c>
      <c r="J24" s="143"/>
      <c r="K24" s="143" t="str">
        <v/>
      </c>
      <c r="L24" s="143"/>
    </row>
    <row r="25" spans="1:12" ht="105.75" customHeight="1">
      <c r="A25" s="134" t="s">
        <v>252</v>
      </c>
      <c r="B25" s="135" t="s">
        <v>253</v>
      </c>
      <c r="C25" s="136" t="s">
        <v>200</v>
      </c>
      <c r="D25" s="136"/>
      <c r="E25" s="137" t="s">
        <v>200</v>
      </c>
      <c r="F25" s="135" t="s">
        <v>254</v>
      </c>
      <c r="G25" s="135" t="s">
        <v>255</v>
      </c>
      <c r="H25" s="144" t="s">
        <v>256</v>
      </c>
      <c r="I25" s="145">
        <v>3</v>
      </c>
      <c r="J25" s="143"/>
      <c r="K25" s="143" t="str">
        <v/>
      </c>
      <c r="L25" s="143"/>
    </row>
    <row r="26" spans="1:12" ht="118.5" customHeight="1">
      <c r="A26" s="134" t="s">
        <v>257</v>
      </c>
      <c r="B26" s="143" t="s">
        <v>258</v>
      </c>
      <c r="C26" s="136" t="s">
        <v>200</v>
      </c>
      <c r="D26" s="136"/>
      <c r="E26" s="137" t="s">
        <v>200</v>
      </c>
      <c r="F26" s="143" t="s">
        <v>259</v>
      </c>
      <c r="G26" s="143" t="s">
        <v>260</v>
      </c>
      <c r="H26" s="144" t="s">
        <v>196</v>
      </c>
      <c r="I26" s="145">
        <v>1</v>
      </c>
      <c r="J26" s="143"/>
      <c r="K26" s="143" t="str">
        <v/>
      </c>
      <c r="L26" s="143"/>
    </row>
    <row r="27" spans="1:12" ht="132.75" customHeight="1">
      <c r="A27" s="134" t="s">
        <v>261</v>
      </c>
      <c r="B27" s="135" t="s">
        <v>262</v>
      </c>
      <c r="C27" s="136"/>
      <c r="D27" s="137" t="s">
        <v>200</v>
      </c>
      <c r="E27" s="136"/>
      <c r="F27" s="148" t="s">
        <v>263</v>
      </c>
      <c r="G27" s="148" t="s">
        <v>264</v>
      </c>
      <c r="H27" s="144" t="s">
        <v>203</v>
      </c>
      <c r="I27" s="145">
        <v>3</v>
      </c>
      <c r="J27" s="143"/>
      <c r="K27" s="143" t="str">
        <v/>
      </c>
      <c r="L27" s="143"/>
    </row>
    <row r="28" spans="1:12" ht="112.5" customHeight="1">
      <c r="A28" s="134" t="s">
        <v>265</v>
      </c>
      <c r="B28" s="135" t="s">
        <v>266</v>
      </c>
      <c r="C28" s="136"/>
      <c r="D28" s="137" t="s">
        <v>200</v>
      </c>
      <c r="E28" s="136"/>
      <c r="F28" s="143" t="s">
        <v>267</v>
      </c>
      <c r="G28" s="143" t="s">
        <v>268</v>
      </c>
      <c r="H28" s="144" t="s">
        <v>196</v>
      </c>
      <c r="I28" s="145">
        <v>3</v>
      </c>
      <c r="J28" s="143"/>
      <c r="K28" s="143" t="str">
        <v/>
      </c>
      <c r="L28" s="143"/>
    </row>
    <row r="29" spans="1:12" ht="12" customHeight="1">
      <c r="A29" s="340" t="s">
        <v>269</v>
      </c>
      <c r="B29" s="239"/>
      <c r="C29" s="239"/>
      <c r="D29" s="239"/>
      <c r="E29" s="239"/>
      <c r="F29" s="239"/>
      <c r="G29" s="239"/>
      <c r="H29" s="239"/>
      <c r="I29" s="239"/>
      <c r="J29" s="239"/>
      <c r="K29" s="239"/>
      <c r="L29" s="243"/>
    </row>
    <row r="30" spans="1:12" ht="57" customHeight="1">
      <c r="A30" s="357" t="s">
        <v>185</v>
      </c>
      <c r="B30" s="243"/>
      <c r="C30" s="339" t="s">
        <v>186</v>
      </c>
      <c r="D30" s="239"/>
      <c r="E30" s="243"/>
      <c r="F30" s="123" t="s">
        <v>187</v>
      </c>
      <c r="G30" s="119" t="s">
        <v>188</v>
      </c>
      <c r="H30" s="149" t="s">
        <v>189</v>
      </c>
      <c r="I30" s="149" t="s">
        <v>190</v>
      </c>
      <c r="J30" s="149" t="s">
        <v>191</v>
      </c>
      <c r="K30" s="149" t="s">
        <v>192</v>
      </c>
      <c r="L30" s="149" t="s">
        <v>270</v>
      </c>
    </row>
    <row r="31" spans="1:12" ht="12" customHeight="1">
      <c r="A31" s="124" t="s">
        <v>271</v>
      </c>
      <c r="B31" s="150" t="s">
        <v>272</v>
      </c>
      <c r="C31" s="126" t="s">
        <v>195</v>
      </c>
      <c r="D31" s="126" t="s">
        <v>196</v>
      </c>
      <c r="E31" s="126" t="s">
        <v>197</v>
      </c>
      <c r="F31" s="151"/>
      <c r="G31" s="151"/>
      <c r="H31" s="152"/>
      <c r="I31" s="152"/>
      <c r="J31" s="151"/>
      <c r="K31" s="132" t="str">
        <f t="array" ref="K31:K47">IF(F31:F47="","",IF((I31:I47*J31:J47)=0,"",(I31:I47*J31:J47)))</f>
        <v/>
      </c>
      <c r="L31" s="151"/>
    </row>
    <row r="32" spans="1:12" ht="240.75" customHeight="1">
      <c r="A32" s="134" t="s">
        <v>273</v>
      </c>
      <c r="B32" s="143" t="s">
        <v>274</v>
      </c>
      <c r="C32" s="136"/>
      <c r="D32" s="137" t="s">
        <v>200</v>
      </c>
      <c r="E32" s="136"/>
      <c r="F32" s="143" t="s">
        <v>275</v>
      </c>
      <c r="G32" s="143" t="s">
        <v>276</v>
      </c>
      <c r="H32" s="144" t="s">
        <v>203</v>
      </c>
      <c r="I32" s="153">
        <v>3</v>
      </c>
      <c r="J32" s="143"/>
      <c r="K32" s="143" t="str">
        <v/>
      </c>
      <c r="L32" s="143"/>
    </row>
    <row r="33" spans="1:12" ht="79.2">
      <c r="A33" s="134" t="s">
        <v>277</v>
      </c>
      <c r="B33" s="135" t="s">
        <v>278</v>
      </c>
      <c r="C33" s="136"/>
      <c r="D33" s="137" t="s">
        <v>200</v>
      </c>
      <c r="E33" s="136"/>
      <c r="F33" s="135" t="s">
        <v>279</v>
      </c>
      <c r="G33" s="143" t="s">
        <v>280</v>
      </c>
      <c r="H33" s="144" t="s">
        <v>203</v>
      </c>
      <c r="I33" s="153">
        <v>3</v>
      </c>
      <c r="J33" s="143"/>
      <c r="K33" s="143" t="str">
        <v/>
      </c>
      <c r="L33" s="143"/>
    </row>
    <row r="34" spans="1:12" ht="79.2">
      <c r="A34" s="134" t="s">
        <v>281</v>
      </c>
      <c r="B34" s="143" t="s">
        <v>282</v>
      </c>
      <c r="C34" s="136"/>
      <c r="D34" s="137" t="s">
        <v>200</v>
      </c>
      <c r="E34" s="136"/>
      <c r="F34" s="135" t="s">
        <v>279</v>
      </c>
      <c r="G34" s="143" t="s">
        <v>280</v>
      </c>
      <c r="H34" s="144" t="s">
        <v>203</v>
      </c>
      <c r="I34" s="153">
        <v>3</v>
      </c>
      <c r="J34" s="143"/>
      <c r="K34" s="143" t="str">
        <v/>
      </c>
      <c r="L34" s="143"/>
    </row>
    <row r="35" spans="1:12" ht="79.2">
      <c r="A35" s="134" t="s">
        <v>283</v>
      </c>
      <c r="B35" s="143" t="s">
        <v>284</v>
      </c>
      <c r="C35" s="136"/>
      <c r="D35" s="137" t="s">
        <v>200</v>
      </c>
      <c r="E35" s="136"/>
      <c r="F35" s="135" t="s">
        <v>279</v>
      </c>
      <c r="G35" s="143" t="s">
        <v>280</v>
      </c>
      <c r="H35" s="144" t="s">
        <v>203</v>
      </c>
      <c r="I35" s="153">
        <v>3</v>
      </c>
      <c r="J35" s="143"/>
      <c r="K35" s="143" t="str">
        <v/>
      </c>
      <c r="L35" s="143"/>
    </row>
    <row r="36" spans="1:12" ht="12.75" customHeight="1">
      <c r="A36" s="342" t="s">
        <v>285</v>
      </c>
      <c r="B36" s="239"/>
      <c r="C36" s="239"/>
      <c r="D36" s="239"/>
      <c r="E36" s="243"/>
      <c r="F36" s="154"/>
      <c r="G36" s="154"/>
      <c r="H36" s="154"/>
      <c r="I36" s="154"/>
      <c r="J36" s="154"/>
      <c r="K36" s="154" t="str">
        <v/>
      </c>
      <c r="L36" s="154"/>
    </row>
    <row r="37" spans="1:12" ht="129.75" customHeight="1">
      <c r="A37" s="134" t="s">
        <v>286</v>
      </c>
      <c r="B37" s="135" t="s">
        <v>287</v>
      </c>
      <c r="C37" s="136"/>
      <c r="D37" s="137" t="s">
        <v>200</v>
      </c>
      <c r="E37" s="136"/>
      <c r="F37" s="135" t="s">
        <v>288</v>
      </c>
      <c r="G37" s="135" t="s">
        <v>289</v>
      </c>
      <c r="H37" s="144" t="s">
        <v>203</v>
      </c>
      <c r="I37" s="153">
        <v>3</v>
      </c>
      <c r="J37" s="143"/>
      <c r="K37" s="143" t="str">
        <v/>
      </c>
      <c r="L37" s="143"/>
    </row>
    <row r="38" spans="1:12" ht="105.75" customHeight="1">
      <c r="A38" s="134" t="s">
        <v>290</v>
      </c>
      <c r="B38" s="135" t="s">
        <v>291</v>
      </c>
      <c r="C38" s="136"/>
      <c r="D38" s="137" t="s">
        <v>200</v>
      </c>
      <c r="E38" s="136"/>
      <c r="F38" s="135" t="s">
        <v>292</v>
      </c>
      <c r="G38" s="135" t="s">
        <v>280</v>
      </c>
      <c r="H38" s="144" t="s">
        <v>196</v>
      </c>
      <c r="I38" s="153">
        <v>1</v>
      </c>
      <c r="J38" s="143"/>
      <c r="K38" s="143" t="str">
        <v/>
      </c>
      <c r="L38" s="143"/>
    </row>
    <row r="39" spans="1:12" ht="141.75" customHeight="1">
      <c r="A39" s="134" t="s">
        <v>293</v>
      </c>
      <c r="B39" s="143" t="s">
        <v>294</v>
      </c>
      <c r="C39" s="136"/>
      <c r="D39" s="137" t="s">
        <v>200</v>
      </c>
      <c r="E39" s="136"/>
      <c r="F39" s="143" t="s">
        <v>295</v>
      </c>
      <c r="G39" s="143" t="s">
        <v>296</v>
      </c>
      <c r="H39" s="144" t="s">
        <v>196</v>
      </c>
      <c r="I39" s="153">
        <v>1</v>
      </c>
      <c r="J39" s="143"/>
      <c r="K39" s="143" t="str">
        <v/>
      </c>
      <c r="L39" s="143"/>
    </row>
    <row r="40" spans="1:12" ht="88.5" customHeight="1">
      <c r="A40" s="134" t="s">
        <v>297</v>
      </c>
      <c r="B40" s="135" t="s">
        <v>298</v>
      </c>
      <c r="C40" s="136"/>
      <c r="D40" s="137" t="s">
        <v>200</v>
      </c>
      <c r="E40" s="136"/>
      <c r="F40" s="135" t="s">
        <v>299</v>
      </c>
      <c r="G40" s="135" t="s">
        <v>300</v>
      </c>
      <c r="H40" s="144" t="s">
        <v>196</v>
      </c>
      <c r="I40" s="153">
        <v>1</v>
      </c>
      <c r="J40" s="143"/>
      <c r="K40" s="143" t="str">
        <v/>
      </c>
      <c r="L40" s="143"/>
    </row>
    <row r="41" spans="1:12" ht="12.75" customHeight="1">
      <c r="A41" s="342" t="s">
        <v>301</v>
      </c>
      <c r="B41" s="239"/>
      <c r="C41" s="239"/>
      <c r="D41" s="239"/>
      <c r="E41" s="243"/>
      <c r="F41" s="155"/>
      <c r="G41" s="155"/>
      <c r="H41" s="144"/>
      <c r="I41" s="144"/>
      <c r="J41" s="155"/>
      <c r="K41" s="155" t="str">
        <v/>
      </c>
      <c r="L41" s="155"/>
    </row>
    <row r="42" spans="1:12" ht="105.6">
      <c r="A42" s="134" t="s">
        <v>302</v>
      </c>
      <c r="B42" s="143" t="s">
        <v>303</v>
      </c>
      <c r="C42" s="136"/>
      <c r="D42" s="137" t="s">
        <v>200</v>
      </c>
      <c r="E42" s="136"/>
      <c r="F42" s="143" t="s">
        <v>304</v>
      </c>
      <c r="G42" s="143" t="s">
        <v>280</v>
      </c>
      <c r="H42" s="144" t="s">
        <v>203</v>
      </c>
      <c r="I42" s="153">
        <v>3</v>
      </c>
      <c r="J42" s="143"/>
      <c r="K42" s="143" t="str">
        <v/>
      </c>
      <c r="L42" s="143"/>
    </row>
    <row r="43" spans="1:12" ht="12.75" customHeight="1">
      <c r="A43" s="342" t="s">
        <v>305</v>
      </c>
      <c r="B43" s="239"/>
      <c r="C43" s="239"/>
      <c r="D43" s="239"/>
      <c r="E43" s="243"/>
      <c r="F43" s="154"/>
      <c r="G43" s="154"/>
      <c r="H43" s="154"/>
      <c r="I43" s="156"/>
      <c r="J43" s="154"/>
      <c r="K43" s="154" t="str">
        <v/>
      </c>
      <c r="L43" s="154"/>
    </row>
    <row r="44" spans="1:12" ht="151.5" customHeight="1">
      <c r="A44" s="134" t="s">
        <v>306</v>
      </c>
      <c r="B44" s="148" t="s">
        <v>307</v>
      </c>
      <c r="C44" s="136"/>
      <c r="D44" s="137" t="s">
        <v>200</v>
      </c>
      <c r="E44" s="136"/>
      <c r="F44" s="135" t="s">
        <v>308</v>
      </c>
      <c r="G44" s="135" t="s">
        <v>309</v>
      </c>
      <c r="H44" s="144" t="s">
        <v>196</v>
      </c>
      <c r="I44" s="153">
        <v>1</v>
      </c>
      <c r="J44" s="143"/>
      <c r="K44" s="143" t="str">
        <v/>
      </c>
      <c r="L44" s="143"/>
    </row>
    <row r="45" spans="1:12" ht="118.8">
      <c r="A45" s="134" t="s">
        <v>310</v>
      </c>
      <c r="B45" s="135" t="s">
        <v>311</v>
      </c>
      <c r="C45" s="136"/>
      <c r="D45" s="137" t="s">
        <v>200</v>
      </c>
      <c r="E45" s="136"/>
      <c r="F45" s="143" t="s">
        <v>312</v>
      </c>
      <c r="G45" s="143" t="s">
        <v>313</v>
      </c>
      <c r="H45" s="144" t="s">
        <v>196</v>
      </c>
      <c r="I45" s="153">
        <v>1</v>
      </c>
      <c r="J45" s="143"/>
      <c r="K45" s="143" t="str">
        <v/>
      </c>
      <c r="L45" s="143"/>
    </row>
    <row r="46" spans="1:12" ht="69.75" customHeight="1">
      <c r="A46" s="134" t="s">
        <v>314</v>
      </c>
      <c r="B46" s="135" t="s">
        <v>315</v>
      </c>
      <c r="C46" s="157"/>
      <c r="D46" s="137" t="s">
        <v>200</v>
      </c>
      <c r="E46" s="157"/>
      <c r="F46" s="135" t="s">
        <v>316</v>
      </c>
      <c r="G46" s="135" t="s">
        <v>317</v>
      </c>
      <c r="H46" s="144" t="s">
        <v>196</v>
      </c>
      <c r="I46" s="153">
        <v>1</v>
      </c>
      <c r="J46" s="158"/>
      <c r="K46" s="158" t="str">
        <v/>
      </c>
      <c r="L46" s="158"/>
    </row>
    <row r="47" spans="1:12" ht="93.75" customHeight="1">
      <c r="A47" s="134" t="s">
        <v>318</v>
      </c>
      <c r="B47" s="135" t="s">
        <v>319</v>
      </c>
      <c r="C47" s="136"/>
      <c r="D47" s="137" t="s">
        <v>200</v>
      </c>
      <c r="E47" s="136"/>
      <c r="F47" s="143" t="s">
        <v>320</v>
      </c>
      <c r="G47" s="143" t="s">
        <v>321</v>
      </c>
      <c r="H47" s="144" t="s">
        <v>196</v>
      </c>
      <c r="I47" s="153">
        <v>1</v>
      </c>
      <c r="J47" s="143"/>
      <c r="K47" s="143" t="str">
        <v/>
      </c>
      <c r="L47" s="143"/>
    </row>
    <row r="48" spans="1:12" ht="12" customHeight="1">
      <c r="A48" s="338" t="s">
        <v>322</v>
      </c>
      <c r="B48" s="239"/>
      <c r="C48" s="239"/>
      <c r="D48" s="239"/>
      <c r="E48" s="239"/>
      <c r="F48" s="239"/>
      <c r="G48" s="239"/>
      <c r="H48" s="239"/>
      <c r="I48" s="239"/>
      <c r="J48" s="239"/>
      <c r="K48" s="239"/>
      <c r="L48" s="243"/>
    </row>
    <row r="49" spans="1:12" ht="70.5" customHeight="1">
      <c r="A49" s="343" t="s">
        <v>185</v>
      </c>
      <c r="B49" s="243"/>
      <c r="C49" s="339" t="s">
        <v>186</v>
      </c>
      <c r="D49" s="239"/>
      <c r="E49" s="243"/>
      <c r="F49" s="159" t="s">
        <v>187</v>
      </c>
      <c r="G49" s="119" t="s">
        <v>188</v>
      </c>
      <c r="H49" s="149" t="s">
        <v>189</v>
      </c>
      <c r="I49" s="149" t="s">
        <v>190</v>
      </c>
      <c r="J49" s="160" t="s">
        <v>191</v>
      </c>
      <c r="K49" s="160" t="s">
        <v>192</v>
      </c>
      <c r="L49" s="160" t="s">
        <v>270</v>
      </c>
    </row>
    <row r="50" spans="1:12" ht="12" customHeight="1">
      <c r="A50" s="161" t="s">
        <v>323</v>
      </c>
      <c r="B50" s="155" t="s">
        <v>324</v>
      </c>
      <c r="C50" s="144" t="s">
        <v>195</v>
      </c>
      <c r="D50" s="144" t="s">
        <v>196</v>
      </c>
      <c r="E50" s="144" t="s">
        <v>197</v>
      </c>
      <c r="F50" s="158"/>
      <c r="G50" s="158"/>
      <c r="H50" s="157"/>
      <c r="I50" s="157"/>
      <c r="J50" s="158"/>
      <c r="K50" s="162" t="str">
        <f t="array" ref="K50:K66">IF(F50:F71="","",IF((I50:I71*J50:J71)=0,"",(I50:I71*J50:J71)))</f>
        <v/>
      </c>
      <c r="L50" s="158"/>
    </row>
    <row r="51" spans="1:12" ht="177" customHeight="1">
      <c r="A51" s="134" t="s">
        <v>325</v>
      </c>
      <c r="B51" s="135" t="s">
        <v>326</v>
      </c>
      <c r="C51" s="136" t="s">
        <v>200</v>
      </c>
      <c r="D51" s="146" t="s">
        <v>200</v>
      </c>
      <c r="E51" s="146" t="s">
        <v>200</v>
      </c>
      <c r="F51" s="143" t="s">
        <v>327</v>
      </c>
      <c r="G51" s="143" t="s">
        <v>328</v>
      </c>
      <c r="H51" s="144" t="s">
        <v>203</v>
      </c>
      <c r="I51" s="163">
        <v>1</v>
      </c>
      <c r="J51" s="143"/>
      <c r="K51" s="143" t="str">
        <v/>
      </c>
      <c r="L51" s="143"/>
    </row>
    <row r="52" spans="1:12" ht="78.75" customHeight="1">
      <c r="A52" s="164" t="s">
        <v>329</v>
      </c>
      <c r="B52" s="135" t="s">
        <v>330</v>
      </c>
      <c r="C52" s="136" t="s">
        <v>200</v>
      </c>
      <c r="D52" s="146" t="s">
        <v>200</v>
      </c>
      <c r="E52" s="146" t="s">
        <v>200</v>
      </c>
      <c r="F52" s="135" t="s">
        <v>331</v>
      </c>
      <c r="G52" s="135" t="s">
        <v>332</v>
      </c>
      <c r="H52" s="144" t="s">
        <v>196</v>
      </c>
      <c r="I52" s="163">
        <v>1</v>
      </c>
      <c r="J52" s="143"/>
      <c r="K52" s="143" t="str">
        <v/>
      </c>
      <c r="L52" s="143"/>
    </row>
    <row r="53" spans="1:12" ht="84" customHeight="1">
      <c r="A53" s="164" t="s">
        <v>333</v>
      </c>
      <c r="B53" s="135" t="s">
        <v>334</v>
      </c>
      <c r="C53" s="136"/>
      <c r="D53" s="137" t="s">
        <v>200</v>
      </c>
      <c r="E53" s="136"/>
      <c r="F53" s="135" t="s">
        <v>335</v>
      </c>
      <c r="G53" s="135" t="s">
        <v>336</v>
      </c>
      <c r="H53" s="144" t="s">
        <v>196</v>
      </c>
      <c r="I53" s="163">
        <v>1</v>
      </c>
      <c r="J53" s="143"/>
      <c r="K53" s="143" t="str">
        <v/>
      </c>
      <c r="L53" s="143"/>
    </row>
    <row r="54" spans="1:12" ht="73.5" customHeight="1">
      <c r="A54" s="164" t="s">
        <v>337</v>
      </c>
      <c r="B54" s="135" t="s">
        <v>338</v>
      </c>
      <c r="C54" s="136"/>
      <c r="D54" s="137" t="s">
        <v>200</v>
      </c>
      <c r="E54" s="136"/>
      <c r="F54" s="135" t="s">
        <v>339</v>
      </c>
      <c r="G54" s="135" t="s">
        <v>328</v>
      </c>
      <c r="H54" s="144" t="s">
        <v>196</v>
      </c>
      <c r="I54" s="163">
        <v>1</v>
      </c>
      <c r="J54" s="143"/>
      <c r="K54" s="143" t="str">
        <v/>
      </c>
      <c r="L54" s="143"/>
    </row>
    <row r="55" spans="1:12" ht="61.5" customHeight="1">
      <c r="A55" s="164" t="s">
        <v>340</v>
      </c>
      <c r="B55" s="135" t="s">
        <v>341</v>
      </c>
      <c r="C55" s="136" t="s">
        <v>200</v>
      </c>
      <c r="D55" s="146" t="s">
        <v>200</v>
      </c>
      <c r="E55" s="146" t="s">
        <v>200</v>
      </c>
      <c r="F55" s="135" t="s">
        <v>342</v>
      </c>
      <c r="G55" s="135" t="s">
        <v>343</v>
      </c>
      <c r="H55" s="144" t="s">
        <v>196</v>
      </c>
      <c r="I55" s="163">
        <v>1</v>
      </c>
      <c r="J55" s="143"/>
      <c r="K55" s="143" t="str">
        <v/>
      </c>
      <c r="L55" s="143"/>
    </row>
    <row r="56" spans="1:12" ht="12.75" customHeight="1">
      <c r="A56" s="342" t="s">
        <v>344</v>
      </c>
      <c r="B56" s="239"/>
      <c r="C56" s="239"/>
      <c r="D56" s="239"/>
      <c r="E56" s="243"/>
      <c r="F56" s="154"/>
      <c r="G56" s="154"/>
      <c r="H56" s="154"/>
      <c r="I56" s="154"/>
      <c r="J56" s="154"/>
      <c r="K56" s="154" t="str">
        <v/>
      </c>
      <c r="L56" s="154"/>
    </row>
    <row r="57" spans="1:12" ht="132">
      <c r="A57" s="134" t="s">
        <v>345</v>
      </c>
      <c r="B57" s="135" t="s">
        <v>346</v>
      </c>
      <c r="C57" s="136" t="s">
        <v>200</v>
      </c>
      <c r="D57" s="136"/>
      <c r="E57" s="136"/>
      <c r="F57" s="135" t="s">
        <v>347</v>
      </c>
      <c r="G57" s="135" t="s">
        <v>348</v>
      </c>
      <c r="H57" s="144" t="s">
        <v>256</v>
      </c>
      <c r="I57" s="163">
        <v>1</v>
      </c>
      <c r="J57" s="143"/>
      <c r="K57" s="143" t="str">
        <v/>
      </c>
      <c r="L57" s="143"/>
    </row>
    <row r="58" spans="1:12" ht="92.25" customHeight="1">
      <c r="A58" s="134" t="s">
        <v>349</v>
      </c>
      <c r="B58" s="143" t="s">
        <v>350</v>
      </c>
      <c r="C58" s="136" t="s">
        <v>200</v>
      </c>
      <c r="D58" s="136"/>
      <c r="E58" s="136"/>
      <c r="F58" s="143" t="s">
        <v>351</v>
      </c>
      <c r="G58" s="143" t="s">
        <v>352</v>
      </c>
      <c r="H58" s="144" t="s">
        <v>196</v>
      </c>
      <c r="I58" s="163">
        <v>1</v>
      </c>
      <c r="J58" s="143"/>
      <c r="K58" s="143" t="str">
        <v/>
      </c>
      <c r="L58" s="143"/>
    </row>
    <row r="59" spans="1:12" ht="113.25" customHeight="1">
      <c r="A59" s="134" t="s">
        <v>353</v>
      </c>
      <c r="B59" s="135" t="s">
        <v>354</v>
      </c>
      <c r="C59" s="136" t="s">
        <v>200</v>
      </c>
      <c r="D59" s="136"/>
      <c r="E59" s="137" t="s">
        <v>200</v>
      </c>
      <c r="F59" s="135" t="s">
        <v>355</v>
      </c>
      <c r="G59" s="135" t="s">
        <v>356</v>
      </c>
      <c r="H59" s="144" t="s">
        <v>196</v>
      </c>
      <c r="I59" s="163">
        <v>1</v>
      </c>
      <c r="J59" s="143"/>
      <c r="K59" s="143" t="str">
        <v/>
      </c>
      <c r="L59" s="143"/>
    </row>
    <row r="60" spans="1:12" ht="171.6">
      <c r="A60" s="134" t="s">
        <v>357</v>
      </c>
      <c r="B60" s="135" t="s">
        <v>358</v>
      </c>
      <c r="C60" s="136"/>
      <c r="D60" s="137" t="s">
        <v>200</v>
      </c>
      <c r="E60" s="153"/>
      <c r="F60" s="143" t="s">
        <v>359</v>
      </c>
      <c r="G60" s="143" t="s">
        <v>360</v>
      </c>
      <c r="H60" s="144" t="s">
        <v>196</v>
      </c>
      <c r="I60" s="163">
        <v>1</v>
      </c>
      <c r="J60" s="143"/>
      <c r="K60" s="143" t="str">
        <v/>
      </c>
      <c r="L60" s="143"/>
    </row>
    <row r="61" spans="1:12" ht="123.75" customHeight="1">
      <c r="A61" s="134" t="s">
        <v>361</v>
      </c>
      <c r="B61" s="135" t="s">
        <v>362</v>
      </c>
      <c r="C61" s="157"/>
      <c r="D61" s="137" t="s">
        <v>200</v>
      </c>
      <c r="E61" s="153"/>
      <c r="F61" s="135" t="s">
        <v>363</v>
      </c>
      <c r="G61" s="135" t="s">
        <v>364</v>
      </c>
      <c r="H61" s="144" t="s">
        <v>196</v>
      </c>
      <c r="I61" s="163">
        <v>1</v>
      </c>
      <c r="J61" s="158"/>
      <c r="K61" s="158" t="str">
        <v/>
      </c>
      <c r="L61" s="158"/>
    </row>
    <row r="62" spans="1:12" ht="105.6">
      <c r="A62" s="134" t="s">
        <v>365</v>
      </c>
      <c r="B62" s="135" t="s">
        <v>366</v>
      </c>
      <c r="C62" s="136" t="s">
        <v>200</v>
      </c>
      <c r="D62" s="136"/>
      <c r="E62" s="136"/>
      <c r="F62" s="143" t="s">
        <v>367</v>
      </c>
      <c r="G62" s="143" t="s">
        <v>368</v>
      </c>
      <c r="H62" s="144" t="s">
        <v>196</v>
      </c>
      <c r="I62" s="163">
        <v>1</v>
      </c>
      <c r="J62" s="143"/>
      <c r="K62" s="143" t="str">
        <v/>
      </c>
      <c r="L62" s="143"/>
    </row>
    <row r="63" spans="1:12" ht="84" customHeight="1">
      <c r="A63" s="134" t="s">
        <v>369</v>
      </c>
      <c r="B63" s="135" t="s">
        <v>370</v>
      </c>
      <c r="C63" s="157"/>
      <c r="D63" s="137" t="s">
        <v>200</v>
      </c>
      <c r="E63" s="157"/>
      <c r="F63" s="135" t="s">
        <v>371</v>
      </c>
      <c r="G63" s="135" t="s">
        <v>372</v>
      </c>
      <c r="H63" s="144" t="s">
        <v>196</v>
      </c>
      <c r="I63" s="163">
        <v>1</v>
      </c>
      <c r="J63" s="158"/>
      <c r="K63" s="158" t="str">
        <v/>
      </c>
      <c r="L63" s="158"/>
    </row>
    <row r="64" spans="1:12" ht="61.5" customHeight="1">
      <c r="A64" s="134" t="s">
        <v>373</v>
      </c>
      <c r="B64" s="135" t="s">
        <v>374</v>
      </c>
      <c r="C64" s="136"/>
      <c r="D64" s="137" t="s">
        <v>200</v>
      </c>
      <c r="E64" s="136"/>
      <c r="F64" s="143" t="s">
        <v>375</v>
      </c>
      <c r="G64" s="143" t="s">
        <v>372</v>
      </c>
      <c r="H64" s="144" t="s">
        <v>196</v>
      </c>
      <c r="I64" s="163">
        <v>1</v>
      </c>
      <c r="J64" s="143"/>
      <c r="K64" s="143" t="str">
        <v/>
      </c>
      <c r="L64" s="143"/>
    </row>
    <row r="65" spans="1:12" ht="12.75" customHeight="1">
      <c r="A65" s="342" t="s">
        <v>376</v>
      </c>
      <c r="B65" s="239"/>
      <c r="C65" s="239"/>
      <c r="D65" s="239"/>
      <c r="E65" s="243"/>
      <c r="F65" s="154"/>
      <c r="G65" s="154"/>
      <c r="H65" s="154"/>
      <c r="I65" s="154"/>
      <c r="J65" s="154"/>
      <c r="K65" s="154" t="str">
        <v/>
      </c>
      <c r="L65" s="154"/>
    </row>
    <row r="66" spans="1:12" ht="92.4">
      <c r="A66" s="134" t="s">
        <v>377</v>
      </c>
      <c r="B66" s="135" t="s">
        <v>378</v>
      </c>
      <c r="C66" s="136"/>
      <c r="D66" s="137" t="s">
        <v>200</v>
      </c>
      <c r="E66" s="137" t="s">
        <v>200</v>
      </c>
      <c r="F66" s="135" t="s">
        <v>379</v>
      </c>
      <c r="G66" s="135" t="s">
        <v>380</v>
      </c>
      <c r="H66" s="144" t="s">
        <v>196</v>
      </c>
      <c r="I66" s="163">
        <v>1</v>
      </c>
      <c r="J66" s="143"/>
      <c r="K66" s="143" t="str">
        <v/>
      </c>
      <c r="L66" s="143"/>
    </row>
    <row r="67" spans="1:12" ht="132">
      <c r="A67" s="134" t="s">
        <v>381</v>
      </c>
      <c r="B67" s="135" t="s">
        <v>382</v>
      </c>
      <c r="C67" s="136"/>
      <c r="D67" s="137" t="s">
        <v>200</v>
      </c>
      <c r="E67" s="136"/>
      <c r="F67" s="135" t="s">
        <v>383</v>
      </c>
      <c r="G67" s="135" t="s">
        <v>372</v>
      </c>
      <c r="H67" s="144" t="s">
        <v>196</v>
      </c>
      <c r="I67" s="163">
        <v>1</v>
      </c>
      <c r="J67" s="143"/>
      <c r="K67" s="143"/>
      <c r="L67" s="143"/>
    </row>
    <row r="68" spans="1:12" ht="171.6">
      <c r="A68" s="134" t="s">
        <v>384</v>
      </c>
      <c r="B68" s="135" t="s">
        <v>385</v>
      </c>
      <c r="C68" s="136"/>
      <c r="D68" s="137" t="s">
        <v>200</v>
      </c>
      <c r="E68" s="136"/>
      <c r="F68" s="135" t="s">
        <v>386</v>
      </c>
      <c r="G68" s="135" t="s">
        <v>372</v>
      </c>
      <c r="H68" s="144" t="s">
        <v>196</v>
      </c>
      <c r="I68" s="163">
        <v>1</v>
      </c>
      <c r="J68" s="143"/>
      <c r="K68" s="143"/>
      <c r="L68" s="143"/>
    </row>
    <row r="69" spans="1:12" ht="118.8">
      <c r="A69" s="134" t="s">
        <v>387</v>
      </c>
      <c r="B69" s="135" t="s">
        <v>388</v>
      </c>
      <c r="C69" s="136"/>
      <c r="D69" s="137" t="s">
        <v>200</v>
      </c>
      <c r="E69" s="136"/>
      <c r="F69" s="135" t="s">
        <v>389</v>
      </c>
      <c r="G69" s="135" t="s">
        <v>372</v>
      </c>
      <c r="H69" s="144" t="s">
        <v>196</v>
      </c>
      <c r="I69" s="163">
        <v>1</v>
      </c>
      <c r="J69" s="143"/>
      <c r="K69" s="143"/>
      <c r="L69" s="143"/>
    </row>
    <row r="70" spans="1:12" ht="12.75" customHeight="1">
      <c r="A70" s="342" t="s">
        <v>390</v>
      </c>
      <c r="B70" s="243"/>
      <c r="C70" s="144"/>
      <c r="D70" s="144"/>
      <c r="E70" s="144"/>
      <c r="F70" s="154"/>
      <c r="G70" s="154"/>
      <c r="H70" s="154"/>
      <c r="I70" s="154"/>
      <c r="J70" s="154"/>
      <c r="K70" s="154"/>
      <c r="L70" s="154"/>
    </row>
    <row r="71" spans="1:12" ht="118.8">
      <c r="A71" s="134" t="s">
        <v>391</v>
      </c>
      <c r="B71" s="135" t="s">
        <v>392</v>
      </c>
      <c r="C71" s="136"/>
      <c r="D71" s="137" t="s">
        <v>200</v>
      </c>
      <c r="E71" s="136"/>
      <c r="F71" s="143" t="s">
        <v>393</v>
      </c>
      <c r="G71" s="143" t="s">
        <v>372</v>
      </c>
      <c r="H71" s="144" t="s">
        <v>196</v>
      </c>
      <c r="I71" s="163">
        <v>1</v>
      </c>
      <c r="J71" s="143"/>
      <c r="K71" s="143"/>
      <c r="L71" s="143"/>
    </row>
    <row r="72" spans="1:12" ht="30" customHeight="1">
      <c r="A72" s="338" t="s">
        <v>394</v>
      </c>
      <c r="B72" s="239"/>
      <c r="C72" s="239"/>
      <c r="D72" s="239"/>
      <c r="E72" s="239"/>
      <c r="F72" s="239"/>
      <c r="G72" s="239"/>
      <c r="H72" s="239"/>
      <c r="I72" s="239"/>
      <c r="J72" s="239"/>
      <c r="K72" s="239"/>
      <c r="L72" s="243"/>
    </row>
    <row r="73" spans="1:12" ht="84.75" customHeight="1">
      <c r="A73" s="343" t="s">
        <v>185</v>
      </c>
      <c r="B73" s="243"/>
      <c r="C73" s="339" t="s">
        <v>186</v>
      </c>
      <c r="D73" s="239"/>
      <c r="E73" s="243"/>
      <c r="F73" s="159" t="s">
        <v>187</v>
      </c>
      <c r="G73" s="119" t="s">
        <v>188</v>
      </c>
      <c r="H73" s="149" t="s">
        <v>189</v>
      </c>
      <c r="I73" s="149" t="s">
        <v>190</v>
      </c>
      <c r="J73" s="160" t="s">
        <v>191</v>
      </c>
      <c r="K73" s="160" t="s">
        <v>192</v>
      </c>
      <c r="L73" s="160" t="s">
        <v>270</v>
      </c>
    </row>
    <row r="74" spans="1:12" ht="12" customHeight="1">
      <c r="A74" s="161" t="s">
        <v>395</v>
      </c>
      <c r="B74" s="155" t="s">
        <v>396</v>
      </c>
      <c r="C74" s="144" t="s">
        <v>195</v>
      </c>
      <c r="D74" s="144" t="s">
        <v>196</v>
      </c>
      <c r="E74" s="144" t="s">
        <v>197</v>
      </c>
      <c r="F74" s="158"/>
      <c r="G74" s="158"/>
      <c r="H74" s="157"/>
      <c r="I74" s="157"/>
      <c r="J74" s="158"/>
      <c r="K74" s="162" t="str">
        <f t="array" ref="K74:K90">IF(F74:F90="","",IF((I74:I90*J74:J90)=0,"",(I74:I90*J74:J90)))</f>
        <v/>
      </c>
      <c r="L74" s="158"/>
    </row>
    <row r="75" spans="1:12" ht="66">
      <c r="A75" s="134" t="s">
        <v>397</v>
      </c>
      <c r="B75" s="143" t="s">
        <v>398</v>
      </c>
      <c r="C75" s="136" t="s">
        <v>200</v>
      </c>
      <c r="D75" s="136"/>
      <c r="E75" s="137" t="s">
        <v>200</v>
      </c>
      <c r="F75" s="135" t="s">
        <v>399</v>
      </c>
      <c r="G75" s="135" t="s">
        <v>400</v>
      </c>
      <c r="H75" s="144" t="s">
        <v>196</v>
      </c>
      <c r="I75" s="163">
        <v>1</v>
      </c>
      <c r="J75" s="143"/>
      <c r="K75" s="143" t="str">
        <v/>
      </c>
      <c r="L75" s="143"/>
    </row>
    <row r="76" spans="1:12" ht="73.5" customHeight="1">
      <c r="A76" s="134" t="s">
        <v>401</v>
      </c>
      <c r="B76" s="143" t="s">
        <v>402</v>
      </c>
      <c r="C76" s="136" t="s">
        <v>200</v>
      </c>
      <c r="D76" s="136"/>
      <c r="E76" s="137" t="s">
        <v>200</v>
      </c>
      <c r="F76" s="135" t="s">
        <v>403</v>
      </c>
      <c r="G76" s="135" t="s">
        <v>404</v>
      </c>
      <c r="H76" s="144" t="s">
        <v>196</v>
      </c>
      <c r="I76" s="163">
        <v>1</v>
      </c>
      <c r="J76" s="143"/>
      <c r="K76" s="143" t="str">
        <v/>
      </c>
      <c r="L76" s="143"/>
    </row>
    <row r="77" spans="1:12" ht="118.8">
      <c r="A77" s="164" t="s">
        <v>405</v>
      </c>
      <c r="B77" s="135" t="s">
        <v>406</v>
      </c>
      <c r="C77" s="136" t="s">
        <v>200</v>
      </c>
      <c r="D77" s="146" t="s">
        <v>200</v>
      </c>
      <c r="E77" s="146" t="s">
        <v>200</v>
      </c>
      <c r="F77" s="135" t="s">
        <v>407</v>
      </c>
      <c r="G77" s="135" t="s">
        <v>408</v>
      </c>
      <c r="H77" s="144" t="s">
        <v>203</v>
      </c>
      <c r="I77" s="163">
        <v>3</v>
      </c>
      <c r="J77" s="143"/>
      <c r="K77" s="143" t="str">
        <v/>
      </c>
      <c r="L77" s="143"/>
    </row>
    <row r="78" spans="1:12" ht="90" customHeight="1">
      <c r="A78" s="164" t="s">
        <v>409</v>
      </c>
      <c r="B78" s="135" t="s">
        <v>410</v>
      </c>
      <c r="C78" s="136" t="s">
        <v>200</v>
      </c>
      <c r="D78" s="146" t="s">
        <v>200</v>
      </c>
      <c r="E78" s="146" t="s">
        <v>200</v>
      </c>
      <c r="F78" s="143" t="s">
        <v>411</v>
      </c>
      <c r="G78" s="143" t="s">
        <v>412</v>
      </c>
      <c r="H78" s="144" t="s">
        <v>203</v>
      </c>
      <c r="I78" s="163">
        <v>1</v>
      </c>
      <c r="J78" s="143"/>
      <c r="K78" s="143" t="str">
        <v/>
      </c>
      <c r="L78" s="143"/>
    </row>
    <row r="79" spans="1:12" ht="52.8">
      <c r="A79" s="164" t="s">
        <v>413</v>
      </c>
      <c r="B79" s="143" t="s">
        <v>414</v>
      </c>
      <c r="C79" s="136" t="s">
        <v>200</v>
      </c>
      <c r="D79" s="136"/>
      <c r="E79" s="136"/>
      <c r="F79" s="135" t="s">
        <v>415</v>
      </c>
      <c r="G79" s="135" t="s">
        <v>416</v>
      </c>
      <c r="H79" s="144" t="s">
        <v>196</v>
      </c>
      <c r="I79" s="163">
        <v>1</v>
      </c>
      <c r="J79" s="143"/>
      <c r="K79" s="143" t="str">
        <v/>
      </c>
      <c r="L79" s="143"/>
    </row>
    <row r="80" spans="1:12" ht="66">
      <c r="A80" s="164" t="s">
        <v>417</v>
      </c>
      <c r="B80" s="135" t="s">
        <v>418</v>
      </c>
      <c r="C80" s="136" t="s">
        <v>200</v>
      </c>
      <c r="D80" s="136"/>
      <c r="E80" s="136"/>
      <c r="F80" s="135" t="s">
        <v>419</v>
      </c>
      <c r="G80" s="135" t="s">
        <v>416</v>
      </c>
      <c r="H80" s="144" t="s">
        <v>196</v>
      </c>
      <c r="I80" s="163">
        <v>1</v>
      </c>
      <c r="J80" s="143"/>
      <c r="K80" s="143" t="str">
        <v/>
      </c>
      <c r="L80" s="143"/>
    </row>
    <row r="81" spans="1:12" ht="118.5" customHeight="1">
      <c r="A81" s="164" t="s">
        <v>420</v>
      </c>
      <c r="B81" s="135" t="s">
        <v>421</v>
      </c>
      <c r="C81" s="136" t="s">
        <v>200</v>
      </c>
      <c r="D81" s="136"/>
      <c r="E81" s="137" t="s">
        <v>200</v>
      </c>
      <c r="F81" s="143" t="s">
        <v>422</v>
      </c>
      <c r="G81" s="143" t="s">
        <v>372</v>
      </c>
      <c r="H81" s="144" t="s">
        <v>203</v>
      </c>
      <c r="I81" s="163">
        <v>3</v>
      </c>
      <c r="J81" s="143"/>
      <c r="K81" s="143" t="str">
        <v/>
      </c>
      <c r="L81" s="143"/>
    </row>
    <row r="82" spans="1:12" ht="21.75" customHeight="1">
      <c r="A82" s="344" t="s">
        <v>423</v>
      </c>
      <c r="B82" s="243"/>
      <c r="C82" s="126"/>
      <c r="D82" s="126"/>
      <c r="E82" s="126"/>
      <c r="F82" s="165"/>
      <c r="G82" s="165"/>
      <c r="H82" s="165"/>
      <c r="I82" s="165"/>
      <c r="J82" s="165"/>
      <c r="K82" s="165" t="str">
        <v/>
      </c>
      <c r="L82" s="165">
        <v>0</v>
      </c>
    </row>
    <row r="83" spans="1:12" ht="92.4">
      <c r="A83" s="134" t="s">
        <v>424</v>
      </c>
      <c r="B83" s="135" t="s">
        <v>425</v>
      </c>
      <c r="C83" s="136"/>
      <c r="D83" s="137" t="s">
        <v>200</v>
      </c>
      <c r="E83" s="137" t="s">
        <v>200</v>
      </c>
      <c r="F83" s="143" t="s">
        <v>426</v>
      </c>
      <c r="G83" s="143" t="s">
        <v>372</v>
      </c>
      <c r="H83" s="144" t="s">
        <v>196</v>
      </c>
      <c r="I83" s="163">
        <v>1</v>
      </c>
      <c r="J83" s="143"/>
      <c r="K83" s="143" t="str">
        <v/>
      </c>
      <c r="L83" s="143"/>
    </row>
    <row r="84" spans="1:12" ht="66">
      <c r="A84" s="134" t="s">
        <v>427</v>
      </c>
      <c r="B84" s="135" t="s">
        <v>428</v>
      </c>
      <c r="C84" s="136" t="s">
        <v>200</v>
      </c>
      <c r="D84" s="136"/>
      <c r="E84" s="137" t="s">
        <v>200</v>
      </c>
      <c r="F84" s="143" t="s">
        <v>429</v>
      </c>
      <c r="G84" s="143" t="s">
        <v>430</v>
      </c>
      <c r="H84" s="144" t="s">
        <v>203</v>
      </c>
      <c r="I84" s="163">
        <v>1</v>
      </c>
      <c r="J84" s="143"/>
      <c r="K84" s="143" t="str">
        <v/>
      </c>
      <c r="L84" s="143"/>
    </row>
    <row r="85" spans="1:12" ht="92.4">
      <c r="A85" s="134" t="s">
        <v>431</v>
      </c>
      <c r="B85" s="143" t="s">
        <v>432</v>
      </c>
      <c r="C85" s="136" t="s">
        <v>200</v>
      </c>
      <c r="D85" s="136"/>
      <c r="E85" s="137" t="s">
        <v>200</v>
      </c>
      <c r="F85" s="135" t="s">
        <v>433</v>
      </c>
      <c r="G85" s="135" t="s">
        <v>430</v>
      </c>
      <c r="H85" s="144" t="s">
        <v>196</v>
      </c>
      <c r="I85" s="163">
        <v>1</v>
      </c>
      <c r="J85" s="143"/>
      <c r="K85" s="143" t="str">
        <v/>
      </c>
      <c r="L85" s="143"/>
    </row>
    <row r="86" spans="1:12" ht="105.6">
      <c r="A86" s="134" t="s">
        <v>434</v>
      </c>
      <c r="B86" s="135" t="s">
        <v>435</v>
      </c>
      <c r="C86" s="136" t="s">
        <v>200</v>
      </c>
      <c r="D86" s="136"/>
      <c r="E86" s="137" t="s">
        <v>200</v>
      </c>
      <c r="F86" s="135" t="s">
        <v>436</v>
      </c>
      <c r="G86" s="135" t="s">
        <v>372</v>
      </c>
      <c r="H86" s="144" t="s">
        <v>196</v>
      </c>
      <c r="I86" s="163">
        <v>1</v>
      </c>
      <c r="J86" s="143"/>
      <c r="K86" s="143" t="str">
        <v/>
      </c>
      <c r="L86" s="143"/>
    </row>
    <row r="87" spans="1:12" ht="224.4">
      <c r="A87" s="134" t="s">
        <v>437</v>
      </c>
      <c r="B87" s="135" t="s">
        <v>438</v>
      </c>
      <c r="C87" s="136" t="s">
        <v>200</v>
      </c>
      <c r="D87" s="136"/>
      <c r="E87" s="137" t="s">
        <v>200</v>
      </c>
      <c r="F87" s="135" t="s">
        <v>439</v>
      </c>
      <c r="G87" s="135" t="s">
        <v>440</v>
      </c>
      <c r="H87" s="144" t="s">
        <v>196</v>
      </c>
      <c r="I87" s="163">
        <v>1</v>
      </c>
      <c r="J87" s="143"/>
      <c r="K87" s="143" t="str">
        <v/>
      </c>
      <c r="L87" s="143"/>
    </row>
    <row r="88" spans="1:12" ht="105.6">
      <c r="A88" s="134" t="s">
        <v>441</v>
      </c>
      <c r="B88" s="135" t="s">
        <v>442</v>
      </c>
      <c r="C88" s="136" t="s">
        <v>200</v>
      </c>
      <c r="D88" s="137"/>
      <c r="E88" s="136" t="s">
        <v>200</v>
      </c>
      <c r="F88" s="135" t="s">
        <v>443</v>
      </c>
      <c r="G88" s="135" t="s">
        <v>444</v>
      </c>
      <c r="H88" s="144" t="s">
        <v>203</v>
      </c>
      <c r="I88" s="163">
        <v>3</v>
      </c>
      <c r="J88" s="143"/>
      <c r="K88" s="143" t="str">
        <v/>
      </c>
      <c r="L88" s="143"/>
    </row>
    <row r="89" spans="1:12" ht="89.25" customHeight="1">
      <c r="A89" s="134" t="s">
        <v>445</v>
      </c>
      <c r="B89" s="135" t="s">
        <v>446</v>
      </c>
      <c r="C89" s="136"/>
      <c r="D89" s="137" t="s">
        <v>200</v>
      </c>
      <c r="E89" s="136"/>
      <c r="F89" s="135" t="s">
        <v>447</v>
      </c>
      <c r="G89" s="135" t="s">
        <v>448</v>
      </c>
      <c r="H89" s="144" t="s">
        <v>196</v>
      </c>
      <c r="I89" s="163">
        <v>1</v>
      </c>
      <c r="J89" s="143"/>
      <c r="K89" s="143" t="str">
        <v/>
      </c>
      <c r="L89" s="143"/>
    </row>
    <row r="90" spans="1:12" ht="105.6">
      <c r="A90" s="134" t="s">
        <v>449</v>
      </c>
      <c r="B90" s="135" t="s">
        <v>450</v>
      </c>
      <c r="C90" s="136" t="s">
        <v>200</v>
      </c>
      <c r="D90" s="136"/>
      <c r="E90" s="137" t="s">
        <v>200</v>
      </c>
      <c r="F90" s="158" t="s">
        <v>451</v>
      </c>
      <c r="G90" s="143" t="s">
        <v>452</v>
      </c>
      <c r="H90" s="144" t="s">
        <v>196</v>
      </c>
      <c r="I90" s="163">
        <v>1</v>
      </c>
      <c r="J90" s="143"/>
      <c r="K90" s="143" t="str">
        <v/>
      </c>
      <c r="L90" s="143"/>
    </row>
    <row r="91" spans="1:12" ht="30" customHeight="1">
      <c r="A91" s="340" t="s">
        <v>453</v>
      </c>
      <c r="B91" s="239"/>
      <c r="C91" s="239"/>
      <c r="D91" s="239"/>
      <c r="E91" s="239"/>
      <c r="F91" s="239"/>
      <c r="G91" s="239"/>
      <c r="H91" s="239"/>
      <c r="I91" s="239"/>
      <c r="J91" s="239"/>
      <c r="K91" s="239"/>
      <c r="L91" s="243"/>
    </row>
    <row r="92" spans="1:12" ht="66" customHeight="1">
      <c r="A92" s="343" t="s">
        <v>185</v>
      </c>
      <c r="B92" s="243"/>
      <c r="C92" s="339" t="s">
        <v>186</v>
      </c>
      <c r="D92" s="239"/>
      <c r="E92" s="243"/>
      <c r="F92" s="159" t="s">
        <v>187</v>
      </c>
      <c r="G92" s="119" t="s">
        <v>188</v>
      </c>
      <c r="H92" s="149" t="s">
        <v>189</v>
      </c>
      <c r="I92" s="149" t="s">
        <v>190</v>
      </c>
      <c r="J92" s="160" t="s">
        <v>191</v>
      </c>
      <c r="K92" s="160" t="s">
        <v>192</v>
      </c>
      <c r="L92" s="160" t="s">
        <v>270</v>
      </c>
    </row>
    <row r="93" spans="1:12" ht="12" customHeight="1">
      <c r="A93" s="124" t="s">
        <v>454</v>
      </c>
      <c r="B93" s="125" t="s">
        <v>455</v>
      </c>
      <c r="C93" s="126" t="s">
        <v>195</v>
      </c>
      <c r="D93" s="126" t="s">
        <v>196</v>
      </c>
      <c r="E93" s="126" t="s">
        <v>197</v>
      </c>
      <c r="F93" s="166"/>
      <c r="G93" s="166"/>
      <c r="H93" s="166"/>
      <c r="I93" s="166"/>
      <c r="J93" s="166"/>
      <c r="K93" s="132" t="str">
        <f t="array" ref="K93:K102">IF(F93:F102="","",IF((I93:I102*J93:J102)=0,"",(I93:I102*J93:J102)))</f>
        <v/>
      </c>
      <c r="L93" s="166"/>
    </row>
    <row r="94" spans="1:12" ht="67.5" customHeight="1">
      <c r="A94" s="134" t="s">
        <v>456</v>
      </c>
      <c r="B94" s="143" t="s">
        <v>457</v>
      </c>
      <c r="C94" s="136" t="s">
        <v>200</v>
      </c>
      <c r="D94" s="137" t="s">
        <v>200</v>
      </c>
      <c r="E94" s="137" t="s">
        <v>200</v>
      </c>
      <c r="F94" s="135" t="s">
        <v>458</v>
      </c>
      <c r="G94" s="135" t="s">
        <v>459</v>
      </c>
      <c r="H94" s="144" t="s">
        <v>256</v>
      </c>
      <c r="I94" s="163">
        <v>3</v>
      </c>
      <c r="J94" s="143"/>
      <c r="K94" s="143" t="str">
        <v/>
      </c>
      <c r="L94" s="143"/>
    </row>
    <row r="95" spans="1:12" ht="92.4">
      <c r="A95" s="134" t="s">
        <v>460</v>
      </c>
      <c r="B95" s="135" t="s">
        <v>461</v>
      </c>
      <c r="C95" s="136" t="s">
        <v>200</v>
      </c>
      <c r="D95" s="137" t="s">
        <v>200</v>
      </c>
      <c r="E95" s="137" t="s">
        <v>200</v>
      </c>
      <c r="F95" s="135" t="s">
        <v>462</v>
      </c>
      <c r="G95" s="135" t="s">
        <v>463</v>
      </c>
      <c r="H95" s="144" t="s">
        <v>203</v>
      </c>
      <c r="I95" s="163">
        <v>1</v>
      </c>
      <c r="J95" s="143"/>
      <c r="K95" s="143" t="str">
        <v/>
      </c>
      <c r="L95" s="143"/>
    </row>
    <row r="96" spans="1:12" ht="92.4">
      <c r="A96" s="134" t="s">
        <v>464</v>
      </c>
      <c r="B96" s="135" t="s">
        <v>465</v>
      </c>
      <c r="C96" s="136" t="s">
        <v>200</v>
      </c>
      <c r="D96" s="137" t="s">
        <v>200</v>
      </c>
      <c r="E96" s="137" t="s">
        <v>200</v>
      </c>
      <c r="F96" s="143" t="s">
        <v>466</v>
      </c>
      <c r="G96" s="143" t="s">
        <v>467</v>
      </c>
      <c r="H96" s="144" t="s">
        <v>203</v>
      </c>
      <c r="I96" s="163">
        <v>3</v>
      </c>
      <c r="J96" s="143"/>
      <c r="K96" s="143" t="str">
        <v/>
      </c>
      <c r="L96" s="143"/>
    </row>
    <row r="97" spans="1:12" ht="92.4">
      <c r="A97" s="134" t="s">
        <v>468</v>
      </c>
      <c r="B97" s="135" t="s">
        <v>469</v>
      </c>
      <c r="C97" s="136" t="s">
        <v>200</v>
      </c>
      <c r="D97" s="136"/>
      <c r="E97" s="136"/>
      <c r="F97" s="135" t="s">
        <v>470</v>
      </c>
      <c r="G97" s="135" t="s">
        <v>471</v>
      </c>
      <c r="H97" s="144" t="s">
        <v>256</v>
      </c>
      <c r="I97" s="163">
        <v>1</v>
      </c>
      <c r="J97" s="143"/>
      <c r="K97" s="143" t="str">
        <v/>
      </c>
      <c r="L97" s="143"/>
    </row>
    <row r="98" spans="1:12" ht="166.5" customHeight="1">
      <c r="A98" s="134" t="s">
        <v>472</v>
      </c>
      <c r="B98" s="135" t="s">
        <v>473</v>
      </c>
      <c r="C98" s="136"/>
      <c r="D98" s="137" t="s">
        <v>200</v>
      </c>
      <c r="E98" s="137" t="s">
        <v>200</v>
      </c>
      <c r="F98" s="135" t="s">
        <v>474</v>
      </c>
      <c r="G98" s="135" t="s">
        <v>475</v>
      </c>
      <c r="H98" s="144" t="s">
        <v>196</v>
      </c>
      <c r="I98" s="163">
        <v>1</v>
      </c>
      <c r="J98" s="143"/>
      <c r="K98" s="143" t="str">
        <v/>
      </c>
      <c r="L98" s="143"/>
    </row>
    <row r="99" spans="1:12" ht="79.2">
      <c r="A99" s="134" t="s">
        <v>476</v>
      </c>
      <c r="B99" s="135" t="s">
        <v>477</v>
      </c>
      <c r="C99" s="136" t="s">
        <v>200</v>
      </c>
      <c r="D99" s="137" t="s">
        <v>200</v>
      </c>
      <c r="E99" s="137" t="s">
        <v>200</v>
      </c>
      <c r="F99" s="143" t="s">
        <v>478</v>
      </c>
      <c r="G99" s="143" t="s">
        <v>380</v>
      </c>
      <c r="H99" s="144" t="s">
        <v>196</v>
      </c>
      <c r="I99" s="163">
        <v>1</v>
      </c>
      <c r="J99" s="143"/>
      <c r="K99" s="143" t="str">
        <v/>
      </c>
      <c r="L99" s="143"/>
    </row>
    <row r="100" spans="1:12" ht="12.75" customHeight="1">
      <c r="A100" s="344" t="s">
        <v>479</v>
      </c>
      <c r="B100" s="243"/>
      <c r="C100" s="126"/>
      <c r="D100" s="126"/>
      <c r="E100" s="126"/>
      <c r="F100" s="165"/>
      <c r="G100" s="165"/>
      <c r="H100" s="165"/>
      <c r="I100" s="165"/>
      <c r="J100" s="165"/>
      <c r="K100" s="165" t="str">
        <v/>
      </c>
      <c r="L100" s="165"/>
    </row>
    <row r="101" spans="1:12" ht="79.2">
      <c r="A101" s="134" t="s">
        <v>480</v>
      </c>
      <c r="B101" s="135" t="s">
        <v>481</v>
      </c>
      <c r="C101" s="136" t="s">
        <v>200</v>
      </c>
      <c r="D101" s="136"/>
      <c r="E101" s="136"/>
      <c r="F101" s="135" t="s">
        <v>482</v>
      </c>
      <c r="G101" s="135" t="s">
        <v>483</v>
      </c>
      <c r="H101" s="144" t="s">
        <v>196</v>
      </c>
      <c r="I101" s="163">
        <v>1</v>
      </c>
      <c r="J101" s="143"/>
      <c r="K101" s="143" t="str">
        <v/>
      </c>
      <c r="L101" s="143"/>
    </row>
    <row r="102" spans="1:12" ht="66">
      <c r="A102" s="134" t="s">
        <v>484</v>
      </c>
      <c r="B102" s="135" t="s">
        <v>485</v>
      </c>
      <c r="C102" s="136" t="s">
        <v>200</v>
      </c>
      <c r="D102" s="136"/>
      <c r="E102" s="137" t="s">
        <v>200</v>
      </c>
      <c r="F102" s="135" t="s">
        <v>486</v>
      </c>
      <c r="G102" s="135" t="s">
        <v>483</v>
      </c>
      <c r="H102" s="144" t="s">
        <v>196</v>
      </c>
      <c r="I102" s="163">
        <v>1</v>
      </c>
      <c r="J102" s="143"/>
      <c r="K102" s="143" t="str">
        <v/>
      </c>
      <c r="L102" s="143"/>
    </row>
    <row r="103" spans="1:12" ht="23.25" customHeight="1">
      <c r="A103" s="338" t="s">
        <v>487</v>
      </c>
      <c r="B103" s="239"/>
      <c r="C103" s="239"/>
      <c r="D103" s="239"/>
      <c r="E103" s="239"/>
      <c r="F103" s="239"/>
      <c r="G103" s="239"/>
      <c r="H103" s="239"/>
      <c r="I103" s="239"/>
      <c r="J103" s="239"/>
      <c r="K103" s="239"/>
      <c r="L103" s="243"/>
    </row>
    <row r="104" spans="1:12" ht="80.25" customHeight="1">
      <c r="A104" s="343" t="s">
        <v>185</v>
      </c>
      <c r="B104" s="243"/>
      <c r="C104" s="339" t="s">
        <v>186</v>
      </c>
      <c r="D104" s="239"/>
      <c r="E104" s="243"/>
      <c r="F104" s="159" t="s">
        <v>187</v>
      </c>
      <c r="G104" s="159"/>
      <c r="H104" s="149" t="s">
        <v>189</v>
      </c>
      <c r="I104" s="149" t="s">
        <v>190</v>
      </c>
      <c r="J104" s="160" t="s">
        <v>191</v>
      </c>
      <c r="K104" s="160" t="s">
        <v>192</v>
      </c>
      <c r="L104" s="160" t="s">
        <v>270</v>
      </c>
    </row>
    <row r="105" spans="1:12" ht="12" customHeight="1">
      <c r="A105" s="124" t="s">
        <v>488</v>
      </c>
      <c r="B105" s="125" t="s">
        <v>489</v>
      </c>
      <c r="C105" s="126" t="s">
        <v>195</v>
      </c>
      <c r="D105" s="126" t="s">
        <v>196</v>
      </c>
      <c r="E105" s="126" t="s">
        <v>197</v>
      </c>
      <c r="F105" s="166"/>
      <c r="G105" s="166"/>
      <c r="H105" s="166"/>
      <c r="I105" s="166"/>
      <c r="J105" s="166"/>
      <c r="K105" s="132" t="str">
        <f t="array" ref="K105:K122">IF(F105:F122="","",IF((I105:I122*J105:J122)=0,"",(I105:I122*J105:J122)))</f>
        <v/>
      </c>
      <c r="L105" s="166"/>
    </row>
    <row r="106" spans="1:12" ht="141.75" customHeight="1">
      <c r="A106" s="134" t="s">
        <v>490</v>
      </c>
      <c r="B106" s="135" t="s">
        <v>491</v>
      </c>
      <c r="C106" s="136" t="s">
        <v>200</v>
      </c>
      <c r="D106" s="136"/>
      <c r="E106" s="136"/>
      <c r="F106" s="143" t="s">
        <v>492</v>
      </c>
      <c r="G106" s="143" t="s">
        <v>493</v>
      </c>
      <c r="H106" s="144" t="s">
        <v>196</v>
      </c>
      <c r="I106" s="163">
        <v>1</v>
      </c>
      <c r="J106" s="143"/>
      <c r="K106" s="143" t="str">
        <v/>
      </c>
      <c r="L106" s="143"/>
    </row>
    <row r="107" spans="1:12" ht="176.25" customHeight="1">
      <c r="A107" s="134" t="s">
        <v>494</v>
      </c>
      <c r="B107" s="135" t="s">
        <v>495</v>
      </c>
      <c r="C107" s="136" t="s">
        <v>200</v>
      </c>
      <c r="D107" s="157"/>
      <c r="E107" s="157"/>
      <c r="F107" s="135" t="s">
        <v>496</v>
      </c>
      <c r="G107" s="143" t="s">
        <v>493</v>
      </c>
      <c r="H107" s="144" t="s">
        <v>196</v>
      </c>
      <c r="I107" s="163">
        <v>1</v>
      </c>
      <c r="J107" s="143"/>
      <c r="K107" s="158" t="str">
        <v/>
      </c>
      <c r="L107" s="158"/>
    </row>
    <row r="108" spans="1:12" ht="154.5" customHeight="1">
      <c r="A108" s="134" t="s">
        <v>497</v>
      </c>
      <c r="B108" s="135" t="s">
        <v>498</v>
      </c>
      <c r="C108" s="136" t="s">
        <v>200</v>
      </c>
      <c r="D108" s="136"/>
      <c r="E108" s="136"/>
      <c r="F108" s="135" t="s">
        <v>499</v>
      </c>
      <c r="G108" s="143" t="s">
        <v>493</v>
      </c>
      <c r="H108" s="144" t="s">
        <v>203</v>
      </c>
      <c r="I108" s="163">
        <v>1</v>
      </c>
      <c r="J108" s="143"/>
      <c r="K108" s="143" t="str">
        <v/>
      </c>
      <c r="L108" s="143"/>
    </row>
    <row r="109" spans="1:12" ht="150" customHeight="1">
      <c r="A109" s="134" t="s">
        <v>500</v>
      </c>
      <c r="B109" s="135" t="s">
        <v>501</v>
      </c>
      <c r="C109" s="136" t="s">
        <v>200</v>
      </c>
      <c r="D109" s="136"/>
      <c r="E109" s="136"/>
      <c r="F109" s="135" t="s">
        <v>502</v>
      </c>
      <c r="G109" s="135" t="s">
        <v>503</v>
      </c>
      <c r="H109" s="144" t="s">
        <v>196</v>
      </c>
      <c r="I109" s="163">
        <v>1</v>
      </c>
      <c r="J109" s="143"/>
      <c r="K109" s="143" t="str">
        <v/>
      </c>
      <c r="L109" s="143"/>
    </row>
    <row r="110" spans="1:12" ht="132">
      <c r="A110" s="134" t="s">
        <v>504</v>
      </c>
      <c r="B110" s="135" t="s">
        <v>505</v>
      </c>
      <c r="C110" s="136"/>
      <c r="D110" s="137" t="s">
        <v>200</v>
      </c>
      <c r="E110" s="136"/>
      <c r="F110" s="135" t="s">
        <v>506</v>
      </c>
      <c r="G110" s="135" t="s">
        <v>493</v>
      </c>
      <c r="H110" s="144" t="s">
        <v>203</v>
      </c>
      <c r="I110" s="163">
        <v>3</v>
      </c>
      <c r="J110" s="143"/>
      <c r="K110" s="143" t="str">
        <v/>
      </c>
      <c r="L110" s="143"/>
    </row>
    <row r="111" spans="1:12" ht="132">
      <c r="A111" s="134" t="s">
        <v>507</v>
      </c>
      <c r="B111" s="135" t="s">
        <v>508</v>
      </c>
      <c r="C111" s="136"/>
      <c r="D111" s="137" t="s">
        <v>200</v>
      </c>
      <c r="E111" s="137" t="s">
        <v>200</v>
      </c>
      <c r="F111" s="135" t="s">
        <v>509</v>
      </c>
      <c r="G111" s="135" t="s">
        <v>510</v>
      </c>
      <c r="H111" s="144" t="s">
        <v>196</v>
      </c>
      <c r="I111" s="163">
        <v>1</v>
      </c>
      <c r="J111" s="143"/>
      <c r="K111" s="143" t="str">
        <v/>
      </c>
      <c r="L111" s="143"/>
    </row>
    <row r="112" spans="1:12" ht="12.75" customHeight="1">
      <c r="A112" s="344" t="s">
        <v>511</v>
      </c>
      <c r="B112" s="243"/>
      <c r="C112" s="126"/>
      <c r="D112" s="126"/>
      <c r="E112" s="126"/>
      <c r="F112" s="165"/>
      <c r="G112" s="165"/>
      <c r="H112" s="165"/>
      <c r="I112" s="165"/>
      <c r="J112" s="165"/>
      <c r="K112" s="165" t="str">
        <v/>
      </c>
      <c r="L112" s="165"/>
    </row>
    <row r="113" spans="1:12" ht="57" customHeight="1">
      <c r="A113" s="134" t="s">
        <v>512</v>
      </c>
      <c r="B113" s="143" t="s">
        <v>513</v>
      </c>
      <c r="C113" s="136" t="s">
        <v>200</v>
      </c>
      <c r="D113" s="136"/>
      <c r="E113" s="136"/>
      <c r="F113" s="143" t="s">
        <v>514</v>
      </c>
      <c r="G113" s="143" t="s">
        <v>515</v>
      </c>
      <c r="H113" s="144" t="s">
        <v>196</v>
      </c>
      <c r="I113" s="163">
        <v>3</v>
      </c>
      <c r="J113" s="143"/>
      <c r="K113" s="143" t="str">
        <v/>
      </c>
      <c r="L113" s="143"/>
    </row>
    <row r="114" spans="1:12" ht="139.5" customHeight="1">
      <c r="A114" s="134" t="s">
        <v>516</v>
      </c>
      <c r="B114" s="135" t="s">
        <v>517</v>
      </c>
      <c r="C114" s="136" t="s">
        <v>200</v>
      </c>
      <c r="D114" s="136"/>
      <c r="E114" s="136"/>
      <c r="F114" s="135" t="s">
        <v>518</v>
      </c>
      <c r="G114" s="135" t="s">
        <v>519</v>
      </c>
      <c r="H114" s="144" t="s">
        <v>196</v>
      </c>
      <c r="I114" s="163">
        <v>1</v>
      </c>
      <c r="J114" s="143"/>
      <c r="K114" s="143" t="str">
        <v/>
      </c>
      <c r="L114" s="143"/>
    </row>
    <row r="115" spans="1:12" ht="12.75" customHeight="1">
      <c r="A115" s="344" t="s">
        <v>520</v>
      </c>
      <c r="B115" s="243"/>
      <c r="C115" s="126"/>
      <c r="D115" s="126"/>
      <c r="E115" s="126"/>
      <c r="F115" s="165"/>
      <c r="G115" s="165"/>
      <c r="H115" s="165"/>
      <c r="I115" s="165"/>
      <c r="J115" s="165"/>
      <c r="K115" s="165" t="str">
        <v/>
      </c>
      <c r="L115" s="165"/>
    </row>
    <row r="116" spans="1:12" ht="86.25" customHeight="1">
      <c r="A116" s="134" t="s">
        <v>521</v>
      </c>
      <c r="B116" s="135" t="s">
        <v>522</v>
      </c>
      <c r="C116" s="136" t="s">
        <v>200</v>
      </c>
      <c r="D116" s="136"/>
      <c r="E116" s="136"/>
      <c r="F116" s="135" t="s">
        <v>523</v>
      </c>
      <c r="G116" s="135" t="s">
        <v>519</v>
      </c>
      <c r="H116" s="144" t="s">
        <v>203</v>
      </c>
      <c r="I116" s="163">
        <v>1</v>
      </c>
      <c r="J116" s="143"/>
      <c r="K116" s="143" t="str">
        <v/>
      </c>
      <c r="L116" s="143"/>
    </row>
    <row r="117" spans="1:12" ht="81" customHeight="1">
      <c r="A117" s="134" t="s">
        <v>524</v>
      </c>
      <c r="B117" s="135" t="s">
        <v>525</v>
      </c>
      <c r="C117" s="136" t="s">
        <v>200</v>
      </c>
      <c r="D117" s="136"/>
      <c r="E117" s="136"/>
      <c r="F117" s="135" t="s">
        <v>526</v>
      </c>
      <c r="G117" s="135" t="s">
        <v>515</v>
      </c>
      <c r="H117" s="144" t="s">
        <v>196</v>
      </c>
      <c r="I117" s="163">
        <v>1</v>
      </c>
      <c r="J117" s="143"/>
      <c r="K117" s="143" t="str">
        <v/>
      </c>
      <c r="L117" s="143"/>
    </row>
    <row r="118" spans="1:12" ht="97.5" customHeight="1">
      <c r="A118" s="134" t="s">
        <v>527</v>
      </c>
      <c r="B118" s="135" t="s">
        <v>528</v>
      </c>
      <c r="C118" s="136" t="s">
        <v>200</v>
      </c>
      <c r="D118" s="136"/>
      <c r="E118" s="136"/>
      <c r="F118" s="135" t="s">
        <v>529</v>
      </c>
      <c r="G118" s="135" t="s">
        <v>519</v>
      </c>
      <c r="H118" s="144" t="s">
        <v>196</v>
      </c>
      <c r="I118" s="163">
        <v>1</v>
      </c>
      <c r="J118" s="143"/>
      <c r="K118" s="143" t="str">
        <v/>
      </c>
      <c r="L118" s="143"/>
    </row>
    <row r="119" spans="1:12" ht="12.75" customHeight="1">
      <c r="A119" s="342" t="s">
        <v>530</v>
      </c>
      <c r="B119" s="243"/>
      <c r="C119" s="144"/>
      <c r="D119" s="144"/>
      <c r="E119" s="144"/>
      <c r="F119" s="154"/>
      <c r="G119" s="154"/>
      <c r="H119" s="154"/>
      <c r="I119" s="154"/>
      <c r="J119" s="154"/>
      <c r="K119" s="154" t="str">
        <v/>
      </c>
      <c r="L119" s="154"/>
    </row>
    <row r="120" spans="1:12" ht="146.25" customHeight="1">
      <c r="A120" s="134" t="s">
        <v>531</v>
      </c>
      <c r="B120" s="135" t="s">
        <v>532</v>
      </c>
      <c r="C120" s="136"/>
      <c r="D120" s="137" t="s">
        <v>200</v>
      </c>
      <c r="E120" s="136"/>
      <c r="F120" s="135" t="s">
        <v>533</v>
      </c>
      <c r="G120" s="135" t="s">
        <v>534</v>
      </c>
      <c r="H120" s="144" t="s">
        <v>196</v>
      </c>
      <c r="I120" s="163">
        <v>1</v>
      </c>
      <c r="J120" s="143"/>
      <c r="K120" s="143" t="str">
        <v/>
      </c>
      <c r="L120" s="143"/>
    </row>
    <row r="121" spans="1:12" ht="91.5" customHeight="1">
      <c r="A121" s="134" t="s">
        <v>535</v>
      </c>
      <c r="B121" s="135" t="s">
        <v>536</v>
      </c>
      <c r="C121" s="136" t="s">
        <v>200</v>
      </c>
      <c r="D121" s="136"/>
      <c r="E121" s="136"/>
      <c r="F121" s="135" t="s">
        <v>537</v>
      </c>
      <c r="G121" s="135" t="s">
        <v>538</v>
      </c>
      <c r="H121" s="144" t="s">
        <v>196</v>
      </c>
      <c r="I121" s="163">
        <v>1</v>
      </c>
      <c r="J121" s="143"/>
      <c r="K121" s="143" t="str">
        <v/>
      </c>
      <c r="L121" s="143"/>
    </row>
    <row r="122" spans="1:12" ht="126.75" customHeight="1">
      <c r="A122" s="134" t="s">
        <v>539</v>
      </c>
      <c r="B122" s="135" t="s">
        <v>540</v>
      </c>
      <c r="C122" s="136"/>
      <c r="D122" s="137" t="s">
        <v>200</v>
      </c>
      <c r="E122" s="136"/>
      <c r="F122" s="135" t="s">
        <v>541</v>
      </c>
      <c r="G122" s="135" t="s">
        <v>538</v>
      </c>
      <c r="H122" s="144" t="s">
        <v>196</v>
      </c>
      <c r="I122" s="163">
        <v>1</v>
      </c>
      <c r="J122" s="143"/>
      <c r="K122" s="143" t="str">
        <v/>
      </c>
      <c r="L122" s="143"/>
    </row>
    <row r="123" spans="1:12" ht="30" customHeight="1">
      <c r="A123" s="340" t="s">
        <v>542</v>
      </c>
      <c r="B123" s="239"/>
      <c r="C123" s="239"/>
      <c r="D123" s="239"/>
      <c r="E123" s="239"/>
      <c r="F123" s="239"/>
      <c r="G123" s="239"/>
      <c r="H123" s="239"/>
      <c r="I123" s="239"/>
      <c r="J123" s="239"/>
      <c r="K123" s="239"/>
      <c r="L123" s="243"/>
    </row>
    <row r="124" spans="1:12" ht="79.5" customHeight="1">
      <c r="A124" s="343" t="s">
        <v>185</v>
      </c>
      <c r="B124" s="243"/>
      <c r="C124" s="339" t="s">
        <v>186</v>
      </c>
      <c r="D124" s="239"/>
      <c r="E124" s="243"/>
      <c r="F124" s="159" t="s">
        <v>187</v>
      </c>
      <c r="G124" s="159"/>
      <c r="H124" s="149" t="s">
        <v>189</v>
      </c>
      <c r="I124" s="149" t="s">
        <v>190</v>
      </c>
      <c r="J124" s="160" t="s">
        <v>191</v>
      </c>
      <c r="K124" s="160" t="s">
        <v>192</v>
      </c>
      <c r="L124" s="160" t="s">
        <v>270</v>
      </c>
    </row>
    <row r="125" spans="1:12" ht="12" customHeight="1">
      <c r="A125" s="124" t="s">
        <v>543</v>
      </c>
      <c r="B125" s="167" t="s">
        <v>544</v>
      </c>
      <c r="C125" s="126" t="s">
        <v>195</v>
      </c>
      <c r="D125" s="168" t="s">
        <v>196</v>
      </c>
      <c r="E125" s="168" t="s">
        <v>197</v>
      </c>
      <c r="F125" s="150"/>
      <c r="G125" s="150"/>
      <c r="H125" s="169"/>
      <c r="I125" s="169"/>
      <c r="J125" s="150"/>
      <c r="K125" s="132" t="str">
        <f t="array" ref="K125:K127">IF(F125:F130="","",IF((I125:I130*J125:J130)=0,"",(I125:I130*J125:J130)))</f>
        <v/>
      </c>
      <c r="L125" s="150"/>
    </row>
    <row r="126" spans="1:12" ht="115.5" customHeight="1">
      <c r="A126" s="134" t="s">
        <v>545</v>
      </c>
      <c r="B126" s="135" t="s">
        <v>546</v>
      </c>
      <c r="C126" s="136" t="s">
        <v>200</v>
      </c>
      <c r="D126" s="137" t="s">
        <v>200</v>
      </c>
      <c r="E126" s="137" t="s">
        <v>200</v>
      </c>
      <c r="F126" s="143" t="s">
        <v>547</v>
      </c>
      <c r="G126" s="143" t="s">
        <v>519</v>
      </c>
      <c r="H126" s="144" t="s">
        <v>203</v>
      </c>
      <c r="I126" s="163">
        <v>1</v>
      </c>
      <c r="J126" s="143"/>
      <c r="K126" s="143" t="str">
        <v/>
      </c>
      <c r="L126" s="143"/>
    </row>
    <row r="127" spans="1:12" ht="92.4">
      <c r="A127" s="134" t="s">
        <v>548</v>
      </c>
      <c r="B127" s="135" t="s">
        <v>549</v>
      </c>
      <c r="C127" s="136"/>
      <c r="D127" s="137" t="s">
        <v>200</v>
      </c>
      <c r="E127" s="137"/>
      <c r="F127" s="135" t="s">
        <v>550</v>
      </c>
      <c r="G127" s="135" t="s">
        <v>493</v>
      </c>
      <c r="H127" s="144" t="s">
        <v>203</v>
      </c>
      <c r="I127" s="163">
        <v>3</v>
      </c>
      <c r="J127" s="143"/>
      <c r="K127" s="143" t="str">
        <v/>
      </c>
      <c r="L127" s="143"/>
    </row>
    <row r="128" spans="1:12" ht="79.2">
      <c r="A128" s="134" t="s">
        <v>551</v>
      </c>
      <c r="B128" s="135" t="s">
        <v>552</v>
      </c>
      <c r="C128" s="136"/>
      <c r="D128" s="137" t="s">
        <v>200</v>
      </c>
      <c r="E128" s="136"/>
      <c r="F128" s="143" t="s">
        <v>553</v>
      </c>
      <c r="G128" s="143" t="s">
        <v>554</v>
      </c>
      <c r="H128" s="144" t="s">
        <v>196</v>
      </c>
      <c r="I128" s="163">
        <v>1</v>
      </c>
      <c r="J128" s="143"/>
      <c r="K128" s="143"/>
      <c r="L128" s="143"/>
    </row>
    <row r="129" spans="1:12" ht="92.4">
      <c r="A129" s="164" t="s">
        <v>555</v>
      </c>
      <c r="B129" s="135" t="s">
        <v>556</v>
      </c>
      <c r="C129" s="157"/>
      <c r="D129" s="137" t="s">
        <v>200</v>
      </c>
      <c r="E129" s="157"/>
      <c r="F129" s="135" t="s">
        <v>557</v>
      </c>
      <c r="G129" s="135" t="s">
        <v>558</v>
      </c>
      <c r="H129" s="144" t="s">
        <v>203</v>
      </c>
      <c r="I129" s="163">
        <v>3</v>
      </c>
      <c r="J129" s="158"/>
      <c r="K129" s="158"/>
      <c r="L129" s="158"/>
    </row>
    <row r="130" spans="1:12" ht="52.8">
      <c r="A130" s="164" t="s">
        <v>559</v>
      </c>
      <c r="B130" s="143" t="s">
        <v>560</v>
      </c>
      <c r="C130" s="136"/>
      <c r="D130" s="137" t="s">
        <v>200</v>
      </c>
      <c r="E130" s="136"/>
      <c r="F130" s="135" t="s">
        <v>561</v>
      </c>
      <c r="G130" s="135" t="s">
        <v>558</v>
      </c>
      <c r="H130" s="144" t="s">
        <v>203</v>
      </c>
      <c r="I130" s="163">
        <v>3</v>
      </c>
      <c r="J130" s="143"/>
      <c r="K130" s="143"/>
      <c r="L130" s="143"/>
    </row>
    <row r="131" spans="1:12" ht="12" customHeight="1">
      <c r="A131" s="341"/>
      <c r="B131" s="236"/>
      <c r="C131" s="236"/>
      <c r="D131" s="236"/>
      <c r="E131" s="236"/>
      <c r="F131" s="236"/>
      <c r="G131" s="236"/>
      <c r="H131" s="236"/>
      <c r="I131" s="236"/>
      <c r="J131" s="236"/>
      <c r="K131" s="236"/>
      <c r="L131" s="292"/>
    </row>
    <row r="132" spans="1:12" ht="49.5" customHeight="1">
      <c r="A132" s="332" t="s">
        <v>562</v>
      </c>
      <c r="B132" s="333"/>
      <c r="C132" s="334" t="s">
        <v>563</v>
      </c>
      <c r="D132" s="335"/>
      <c r="E132" s="333"/>
      <c r="F132" s="336" t="s">
        <v>564</v>
      </c>
      <c r="G132" s="333"/>
      <c r="H132" s="336" t="s">
        <v>565</v>
      </c>
      <c r="I132" s="335"/>
      <c r="J132" s="333"/>
      <c r="K132" s="336" t="s">
        <v>566</v>
      </c>
      <c r="L132" s="337"/>
    </row>
    <row r="133" spans="1:12" ht="12" customHeight="1">
      <c r="A133" s="362" t="s">
        <v>567</v>
      </c>
      <c r="B133" s="243"/>
      <c r="C133" s="352">
        <f>COUNTIF(C9:C130,"√")</f>
        <v>51</v>
      </c>
      <c r="D133" s="239"/>
      <c r="E133" s="243"/>
      <c r="F133" s="363">
        <f>SUMIF(C9:C130,"√",I9:I130)*3</f>
        <v>225</v>
      </c>
      <c r="G133" s="243"/>
      <c r="H133" s="345">
        <f>SUM('F Syor'!B22:I22)</f>
        <v>0</v>
      </c>
      <c r="I133" s="255"/>
      <c r="J133" s="257"/>
      <c r="K133" s="349">
        <f>IF(H$8="B",H133/F133,IF(H$8="P",H133/F134,IF(H$8="T",H133/F135,"")))</f>
        <v>0</v>
      </c>
      <c r="L133" s="350"/>
    </row>
    <row r="134" spans="1:12" ht="12" customHeight="1">
      <c r="A134" s="358" t="s">
        <v>568</v>
      </c>
      <c r="B134" s="243"/>
      <c r="C134" s="352">
        <f>COUNTIF(D9:D130,"√")</f>
        <v>52</v>
      </c>
      <c r="D134" s="239"/>
      <c r="E134" s="243"/>
      <c r="F134" s="352">
        <f>SUMIF(D9:D130,"√",I9:I130)*3</f>
        <v>270</v>
      </c>
      <c r="G134" s="243"/>
      <c r="H134" s="321"/>
      <c r="I134" s="234"/>
      <c r="J134" s="258"/>
      <c r="K134" s="321"/>
      <c r="L134" s="248"/>
    </row>
    <row r="135" spans="1:12" ht="12" customHeight="1">
      <c r="A135" s="359" t="s">
        <v>569</v>
      </c>
      <c r="B135" s="268"/>
      <c r="C135" s="360">
        <f>COUNTIF(E9:E130,"√")</f>
        <v>38</v>
      </c>
      <c r="D135" s="267"/>
      <c r="E135" s="268"/>
      <c r="F135" s="361">
        <f>SUMIF(E9:E130,"√",I9:I130)*3</f>
        <v>180</v>
      </c>
      <c r="G135" s="268"/>
      <c r="H135" s="346"/>
      <c r="I135" s="347"/>
      <c r="J135" s="348"/>
      <c r="K135" s="346"/>
      <c r="L135" s="351"/>
    </row>
  </sheetData>
  <mergeCells count="55">
    <mergeCell ref="A134:B134"/>
    <mergeCell ref="A135:B135"/>
    <mergeCell ref="C135:E135"/>
    <mergeCell ref="F135:G135"/>
    <mergeCell ref="A133:B133"/>
    <mergeCell ref="C133:E133"/>
    <mergeCell ref="F133:G133"/>
    <mergeCell ref="H133:J135"/>
    <mergeCell ref="K133:L135"/>
    <mergeCell ref="C134:E134"/>
    <mergeCell ref="F134:G134"/>
    <mergeCell ref="A1:L1"/>
    <mergeCell ref="A2:E5"/>
    <mergeCell ref="G2:L2"/>
    <mergeCell ref="G3:L3"/>
    <mergeCell ref="G4:L4"/>
    <mergeCell ref="G5:L5"/>
    <mergeCell ref="A6:L6"/>
    <mergeCell ref="A7:B7"/>
    <mergeCell ref="C7:E7"/>
    <mergeCell ref="A29:L29"/>
    <mergeCell ref="A30:B30"/>
    <mergeCell ref="C30:E30"/>
    <mergeCell ref="A36:E36"/>
    <mergeCell ref="A41:E41"/>
    <mergeCell ref="A43:E43"/>
    <mergeCell ref="A48:L48"/>
    <mergeCell ref="A49:B49"/>
    <mergeCell ref="C49:E49"/>
    <mergeCell ref="A56:E56"/>
    <mergeCell ref="A65:E65"/>
    <mergeCell ref="A72:L72"/>
    <mergeCell ref="A119:B119"/>
    <mergeCell ref="A124:B124"/>
    <mergeCell ref="A70:B70"/>
    <mergeCell ref="A73:B73"/>
    <mergeCell ref="A82:B82"/>
    <mergeCell ref="A100:B100"/>
    <mergeCell ref="A104:B104"/>
    <mergeCell ref="A112:B112"/>
    <mergeCell ref="A115:B115"/>
    <mergeCell ref="C73:E73"/>
    <mergeCell ref="A91:L91"/>
    <mergeCell ref="A92:B92"/>
    <mergeCell ref="C92:E92"/>
    <mergeCell ref="A103:L103"/>
    <mergeCell ref="C104:E104"/>
    <mergeCell ref="A123:L123"/>
    <mergeCell ref="C124:E124"/>
    <mergeCell ref="A131:L131"/>
    <mergeCell ref="A132:B132"/>
    <mergeCell ref="C132:E132"/>
    <mergeCell ref="F132:G132"/>
    <mergeCell ref="H132:J132"/>
    <mergeCell ref="K132:L132"/>
  </mergeCells>
  <conditionalFormatting sqref="A133:G133">
    <cfRule type="expression" dxfId="3" priority="1">
      <formula>$H$8="B"</formula>
    </cfRule>
  </conditionalFormatting>
  <conditionalFormatting sqref="A134:G134">
    <cfRule type="expression" dxfId="2" priority="2">
      <formula>$H$8="P"</formula>
    </cfRule>
  </conditionalFormatting>
  <conditionalFormatting sqref="A135:G135">
    <cfRule type="expression" dxfId="1" priority="3">
      <formula>$H$8="T"</formula>
    </cfRule>
  </conditionalFormatting>
  <conditionalFormatting sqref="H9:H130">
    <cfRule type="expression" dxfId="0" priority="4">
      <formula>IF(H$8="B",C9,IF(H$8="P",D9,IF(H$8="T",E9,"")))="√"</formula>
    </cfRule>
  </conditionalFormatting>
  <pageMargins left="0.23622047244094491" right="0.23622047244094491" top="0.74803149606299213" bottom="0.74803149606299213" header="0" footer="0"/>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5818E"/>
    <pageSetUpPr fitToPage="1"/>
  </sheetPr>
  <dimension ref="A1:J58"/>
  <sheetViews>
    <sheetView topLeftCell="A21" workbookViewId="0">
      <selection sqref="A1:J1"/>
    </sheetView>
  </sheetViews>
  <sheetFormatPr defaultColWidth="14.44140625" defaultRowHeight="15" customHeight="1"/>
  <cols>
    <col min="1" max="1" width="15.88671875" customWidth="1"/>
    <col min="2" max="2" width="19.88671875" customWidth="1"/>
    <col min="3" max="3" width="19.109375" customWidth="1"/>
    <col min="4" max="4" width="7.44140625" customWidth="1"/>
    <col min="5" max="5" width="9.109375" customWidth="1"/>
    <col min="8" max="8" width="14.6640625" customWidth="1"/>
    <col min="9" max="9" width="31" customWidth="1"/>
    <col min="10" max="10" width="27.109375" customWidth="1"/>
    <col min="11" max="25" width="9.109375" customWidth="1"/>
  </cols>
  <sheetData>
    <row r="1" spans="1:10" ht="30" customHeight="1">
      <c r="A1" s="372" t="s">
        <v>570</v>
      </c>
      <c r="B1" s="369"/>
      <c r="C1" s="369"/>
      <c r="D1" s="369"/>
      <c r="E1" s="369"/>
      <c r="F1" s="369"/>
      <c r="G1" s="369"/>
      <c r="H1" s="369"/>
      <c r="I1" s="369"/>
      <c r="J1" s="373"/>
    </row>
    <row r="2" spans="1:10" ht="34.5" customHeight="1">
      <c r="A2" s="374"/>
      <c r="B2" s="234"/>
      <c r="C2" s="234"/>
      <c r="D2" s="234"/>
      <c r="E2" s="234"/>
      <c r="F2" s="234"/>
      <c r="G2" s="234"/>
      <c r="H2" s="234"/>
      <c r="I2" s="234"/>
      <c r="J2" s="234"/>
    </row>
    <row r="3" spans="1:10" ht="19.5" customHeight="1">
      <c r="A3" s="234"/>
      <c r="B3" s="234"/>
      <c r="C3" s="234"/>
      <c r="D3" s="234"/>
      <c r="E3" s="234"/>
      <c r="F3" s="234"/>
      <c r="G3" s="234"/>
      <c r="H3" s="234"/>
      <c r="I3" s="234"/>
      <c r="J3" s="234"/>
    </row>
    <row r="4" spans="1:10" ht="19.5" customHeight="1">
      <c r="A4" s="234"/>
      <c r="B4" s="234"/>
      <c r="C4" s="234"/>
      <c r="D4" s="234"/>
      <c r="E4" s="234"/>
      <c r="F4" s="234"/>
      <c r="G4" s="234"/>
      <c r="H4" s="234"/>
      <c r="I4" s="234"/>
      <c r="J4" s="234"/>
    </row>
    <row r="5" spans="1:10" ht="19.5" customHeight="1">
      <c r="A5" s="234"/>
      <c r="B5" s="234"/>
      <c r="C5" s="234"/>
      <c r="D5" s="234"/>
      <c r="E5" s="234"/>
      <c r="F5" s="234"/>
      <c r="G5" s="234"/>
      <c r="H5" s="234"/>
      <c r="I5" s="234"/>
      <c r="J5" s="234"/>
    </row>
    <row r="6" spans="1:10" ht="19.5" customHeight="1">
      <c r="A6" s="234"/>
      <c r="B6" s="234"/>
      <c r="C6" s="234"/>
      <c r="D6" s="234"/>
      <c r="E6" s="234"/>
      <c r="F6" s="234"/>
      <c r="G6" s="234"/>
      <c r="H6" s="234"/>
      <c r="I6" s="234"/>
      <c r="J6" s="234"/>
    </row>
    <row r="7" spans="1:10" ht="19.5" customHeight="1">
      <c r="A7" s="234"/>
      <c r="B7" s="234"/>
      <c r="C7" s="234"/>
      <c r="D7" s="234"/>
      <c r="E7" s="234"/>
      <c r="F7" s="234"/>
      <c r="G7" s="234"/>
      <c r="H7" s="234"/>
      <c r="I7" s="234"/>
      <c r="J7" s="234"/>
    </row>
    <row r="8" spans="1:10" ht="19.5" customHeight="1">
      <c r="A8" s="234"/>
      <c r="B8" s="234"/>
      <c r="C8" s="234"/>
      <c r="D8" s="234"/>
      <c r="E8" s="234"/>
      <c r="F8" s="234"/>
      <c r="G8" s="234"/>
      <c r="H8" s="234"/>
      <c r="I8" s="234"/>
      <c r="J8" s="234"/>
    </row>
    <row r="9" spans="1:10" ht="19.5" customHeight="1">
      <c r="A9" s="234"/>
      <c r="B9" s="234"/>
      <c r="C9" s="234"/>
      <c r="D9" s="234"/>
      <c r="E9" s="234"/>
      <c r="F9" s="234"/>
      <c r="G9" s="234"/>
      <c r="H9" s="234"/>
      <c r="I9" s="234"/>
      <c r="J9" s="234"/>
    </row>
    <row r="10" spans="1:10" ht="19.5" customHeight="1">
      <c r="A10" s="234"/>
      <c r="B10" s="234"/>
      <c r="C10" s="234"/>
      <c r="D10" s="234"/>
      <c r="E10" s="234"/>
      <c r="F10" s="234"/>
      <c r="G10" s="234"/>
      <c r="H10" s="234"/>
      <c r="I10" s="234"/>
      <c r="J10" s="234"/>
    </row>
    <row r="11" spans="1:10" ht="19.5" customHeight="1">
      <c r="A11" s="234"/>
      <c r="B11" s="234"/>
      <c r="C11" s="234"/>
      <c r="D11" s="234"/>
      <c r="E11" s="234"/>
      <c r="F11" s="234"/>
      <c r="G11" s="234"/>
      <c r="H11" s="234"/>
      <c r="I11" s="234"/>
      <c r="J11" s="234"/>
    </row>
    <row r="12" spans="1:10" ht="19.5" customHeight="1">
      <c r="A12" s="234"/>
      <c r="B12" s="234"/>
      <c r="C12" s="234"/>
      <c r="D12" s="234"/>
      <c r="E12" s="234"/>
      <c r="F12" s="234"/>
      <c r="G12" s="234"/>
      <c r="H12" s="234"/>
      <c r="I12" s="234"/>
      <c r="J12" s="234"/>
    </row>
    <row r="13" spans="1:10" ht="19.5" customHeight="1">
      <c r="A13" s="234"/>
      <c r="B13" s="234"/>
      <c r="C13" s="234"/>
      <c r="D13" s="234"/>
      <c r="E13" s="234"/>
      <c r="F13" s="234"/>
      <c r="G13" s="234"/>
      <c r="H13" s="234"/>
      <c r="I13" s="234"/>
      <c r="J13" s="234"/>
    </row>
    <row r="14" spans="1:10" ht="19.5" customHeight="1">
      <c r="A14" s="234"/>
      <c r="B14" s="234"/>
      <c r="C14" s="234"/>
      <c r="D14" s="234"/>
      <c r="E14" s="234"/>
      <c r="F14" s="234"/>
      <c r="G14" s="234"/>
      <c r="H14" s="234"/>
      <c r="I14" s="234"/>
      <c r="J14" s="234"/>
    </row>
    <row r="15" spans="1:10" ht="19.5" customHeight="1">
      <c r="A15" s="234"/>
      <c r="B15" s="234"/>
      <c r="C15" s="234"/>
      <c r="D15" s="234"/>
      <c r="E15" s="234"/>
      <c r="F15" s="234"/>
      <c r="G15" s="234"/>
      <c r="H15" s="234"/>
      <c r="I15" s="234"/>
      <c r="J15" s="234"/>
    </row>
    <row r="16" spans="1:10" ht="19.5" customHeight="1">
      <c r="A16" s="234"/>
      <c r="B16" s="234"/>
      <c r="C16" s="234"/>
      <c r="D16" s="234"/>
      <c r="E16" s="234"/>
      <c r="F16" s="234"/>
      <c r="G16" s="234"/>
      <c r="H16" s="234"/>
      <c r="I16" s="234"/>
      <c r="J16" s="234"/>
    </row>
    <row r="17" spans="1:10" ht="19.5" customHeight="1">
      <c r="A17" s="234"/>
      <c r="B17" s="234"/>
      <c r="C17" s="234"/>
      <c r="D17" s="234"/>
      <c r="E17" s="234"/>
      <c r="F17" s="234"/>
      <c r="G17" s="234"/>
      <c r="H17" s="234"/>
      <c r="I17" s="234"/>
      <c r="J17" s="234"/>
    </row>
    <row r="18" spans="1:10" ht="19.5" customHeight="1">
      <c r="A18" s="234"/>
      <c r="B18" s="234"/>
      <c r="C18" s="234"/>
      <c r="D18" s="234"/>
      <c r="E18" s="234"/>
      <c r="F18" s="234"/>
      <c r="G18" s="234"/>
      <c r="H18" s="234"/>
      <c r="I18" s="234"/>
      <c r="J18" s="234"/>
    </row>
    <row r="19" spans="1:10" ht="19.5" customHeight="1">
      <c r="A19" s="234"/>
      <c r="B19" s="234"/>
      <c r="C19" s="234"/>
      <c r="D19" s="234"/>
      <c r="E19" s="234"/>
      <c r="F19" s="234"/>
      <c r="G19" s="234"/>
      <c r="H19" s="234"/>
      <c r="I19" s="234"/>
      <c r="J19" s="234"/>
    </row>
    <row r="20" spans="1:10" ht="30" customHeight="1">
      <c r="A20" s="372" t="s">
        <v>571</v>
      </c>
      <c r="B20" s="369"/>
      <c r="C20" s="369"/>
      <c r="D20" s="369"/>
      <c r="E20" s="369"/>
      <c r="F20" s="369"/>
      <c r="G20" s="369"/>
      <c r="H20" s="369"/>
      <c r="I20" s="369"/>
      <c r="J20" s="373"/>
    </row>
    <row r="21" spans="1:10" ht="75.75" customHeight="1">
      <c r="A21" s="170" t="s">
        <v>572</v>
      </c>
      <c r="B21" s="171" t="s">
        <v>573</v>
      </c>
      <c r="C21" s="171" t="s">
        <v>574</v>
      </c>
      <c r="D21" s="375" t="s">
        <v>575</v>
      </c>
      <c r="E21" s="333"/>
      <c r="F21" s="171" t="s">
        <v>576</v>
      </c>
      <c r="G21" s="171" t="s">
        <v>577</v>
      </c>
      <c r="H21" s="171" t="s">
        <v>578</v>
      </c>
      <c r="I21" s="171" t="s">
        <v>579</v>
      </c>
      <c r="J21" s="172" t="s">
        <v>580</v>
      </c>
    </row>
    <row r="22" spans="1:10" ht="34.5" customHeight="1">
      <c r="A22" s="173" t="s">
        <v>581</v>
      </c>
      <c r="B22" s="174">
        <f>SUMIF('E COPTPA'!A9:A130,"1.*",'E COPTPA'!K9:K130)</f>
        <v>0</v>
      </c>
      <c r="C22" s="174">
        <f>SUMIF('E COPTPA'!A9:A130,"2.*",'E COPTPA'!K9:K130)</f>
        <v>0</v>
      </c>
      <c r="D22" s="376">
        <f>SUMIF('E COPTPA'!A9:A130,"3.*",'E COPTPA'!K9:K130)</f>
        <v>0</v>
      </c>
      <c r="E22" s="243"/>
      <c r="F22" s="174">
        <f>SUMIF('E COPTPA'!A9:A130,"4.*",'E COPTPA'!K9:K130)</f>
        <v>0</v>
      </c>
      <c r="G22" s="174">
        <f>SUMIF('E COPTPA'!A9:A130,"5.*",'E COPTPA'!K9:K130)</f>
        <v>0</v>
      </c>
      <c r="H22" s="174">
        <f>SUMIF('E COPTPA'!A9:A130,"6.*",'E COPTPA'!K9:K130)</f>
        <v>0</v>
      </c>
      <c r="I22" s="174">
        <f>SUMIF('E COPTPA'!A9:A130,"7.*",'E COPTPA'!K9:K130)</f>
        <v>0</v>
      </c>
      <c r="J22" s="175">
        <f>'E COPTPA'!K133</f>
        <v>0</v>
      </c>
    </row>
    <row r="23" spans="1:10" ht="30" customHeight="1">
      <c r="A23" s="372" t="s">
        <v>582</v>
      </c>
      <c r="B23" s="369"/>
      <c r="C23" s="369"/>
      <c r="D23" s="369"/>
      <c r="E23" s="369"/>
      <c r="F23" s="369"/>
      <c r="G23" s="369"/>
      <c r="H23" s="369"/>
      <c r="I23" s="369"/>
      <c r="J23" s="373"/>
    </row>
    <row r="24" spans="1:10" ht="27.75" customHeight="1">
      <c r="A24" s="176" t="s">
        <v>139</v>
      </c>
      <c r="B24" s="327" t="s">
        <v>583</v>
      </c>
      <c r="C24" s="262"/>
      <c r="D24" s="262"/>
      <c r="E24" s="296"/>
      <c r="F24" s="297" t="s">
        <v>584</v>
      </c>
      <c r="G24" s="262"/>
      <c r="H24" s="296"/>
      <c r="I24" s="297" t="s">
        <v>33</v>
      </c>
      <c r="J24" s="371"/>
    </row>
    <row r="25" spans="1:10" ht="27.75" customHeight="1">
      <c r="A25" s="177">
        <v>1</v>
      </c>
      <c r="B25" s="283"/>
      <c r="C25" s="239"/>
      <c r="D25" s="239"/>
      <c r="E25" s="243"/>
      <c r="F25" s="285" t="s">
        <v>585</v>
      </c>
      <c r="G25" s="239"/>
      <c r="H25" s="243"/>
      <c r="I25" s="285"/>
      <c r="J25" s="240"/>
    </row>
    <row r="26" spans="1:10" ht="27.75" customHeight="1">
      <c r="A26" s="177">
        <v>2</v>
      </c>
      <c r="B26" s="283"/>
      <c r="C26" s="239"/>
      <c r="D26" s="239"/>
      <c r="E26" s="243"/>
      <c r="F26" s="285" t="s">
        <v>586</v>
      </c>
      <c r="G26" s="239"/>
      <c r="H26" s="243"/>
      <c r="I26" s="285"/>
      <c r="J26" s="240"/>
    </row>
    <row r="27" spans="1:10" ht="27.75" customHeight="1">
      <c r="A27" s="177">
        <v>3</v>
      </c>
      <c r="B27" s="283"/>
      <c r="C27" s="239"/>
      <c r="D27" s="239"/>
      <c r="E27" s="243"/>
      <c r="F27" s="285" t="s">
        <v>587</v>
      </c>
      <c r="G27" s="239"/>
      <c r="H27" s="243"/>
      <c r="I27" s="285"/>
      <c r="J27" s="240"/>
    </row>
    <row r="28" spans="1:10" ht="30" customHeight="1">
      <c r="A28" s="365" t="s">
        <v>588</v>
      </c>
      <c r="B28" s="366"/>
      <c r="C28" s="366"/>
      <c r="D28" s="366"/>
      <c r="E28" s="366"/>
      <c r="F28" s="366"/>
      <c r="G28" s="366"/>
      <c r="H28" s="366"/>
      <c r="I28" s="366"/>
      <c r="J28" s="367"/>
    </row>
    <row r="29" spans="1:10" ht="42.75" customHeight="1">
      <c r="A29" s="324" t="s">
        <v>589</v>
      </c>
      <c r="B29" s="255"/>
      <c r="C29" s="255"/>
      <c r="D29" s="255"/>
      <c r="E29" s="255"/>
      <c r="F29" s="255"/>
      <c r="G29" s="255"/>
      <c r="H29" s="255"/>
      <c r="I29" s="255"/>
      <c r="J29" s="178"/>
    </row>
    <row r="30" spans="1:10" ht="14.4">
      <c r="A30" s="179"/>
      <c r="J30" s="180"/>
    </row>
    <row r="31" spans="1:10" ht="14.4">
      <c r="A31" s="179"/>
      <c r="J31" s="180"/>
    </row>
    <row r="32" spans="1:10" ht="14.4">
      <c r="A32" s="179"/>
      <c r="J32" s="180"/>
    </row>
    <row r="33" spans="1:10" ht="14.4">
      <c r="A33" s="179"/>
      <c r="J33" s="180"/>
    </row>
    <row r="34" spans="1:10" ht="14.4">
      <c r="A34" s="179"/>
      <c r="J34" s="180"/>
    </row>
    <row r="35" spans="1:10" ht="14.4">
      <c r="A35" s="179"/>
      <c r="J35" s="180"/>
    </row>
    <row r="36" spans="1:10" ht="14.4">
      <c r="A36" s="179"/>
      <c r="J36" s="180"/>
    </row>
    <row r="37" spans="1:10" ht="14.4">
      <c r="A37" s="179"/>
      <c r="J37" s="180"/>
    </row>
    <row r="38" spans="1:10" ht="14.4">
      <c r="A38" s="179"/>
      <c r="J38" s="180"/>
    </row>
    <row r="39" spans="1:10" ht="14.4">
      <c r="A39" s="179"/>
      <c r="J39" s="180"/>
    </row>
    <row r="40" spans="1:10" ht="14.4">
      <c r="A40" s="179"/>
      <c r="J40" s="180"/>
    </row>
    <row r="41" spans="1:10" ht="14.4">
      <c r="A41" s="179"/>
      <c r="J41" s="180"/>
    </row>
    <row r="42" spans="1:10" ht="14.4">
      <c r="A42" s="179"/>
      <c r="J42" s="180"/>
    </row>
    <row r="43" spans="1:10" ht="14.4">
      <c r="A43" s="179"/>
      <c r="J43" s="180"/>
    </row>
    <row r="44" spans="1:10" ht="14.4">
      <c r="A44" s="179"/>
      <c r="J44" s="180"/>
    </row>
    <row r="45" spans="1:10" ht="14.4">
      <c r="A45" s="179"/>
      <c r="J45" s="180"/>
    </row>
    <row r="46" spans="1:10" ht="14.4">
      <c r="A46" s="179"/>
      <c r="J46" s="180"/>
    </row>
    <row r="47" spans="1:10" ht="14.4">
      <c r="A47" s="179"/>
      <c r="J47" s="180"/>
    </row>
    <row r="48" spans="1:10" ht="30" customHeight="1">
      <c r="A48" s="368" t="s">
        <v>590</v>
      </c>
      <c r="B48" s="369"/>
      <c r="C48" s="369"/>
      <c r="D48" s="369"/>
      <c r="E48" s="369"/>
      <c r="F48" s="369"/>
      <c r="G48" s="369"/>
      <c r="H48" s="369"/>
      <c r="I48" s="369"/>
      <c r="J48" s="370"/>
    </row>
    <row r="49" spans="1:10" ht="24.75" customHeight="1">
      <c r="A49" s="364" t="s">
        <v>591</v>
      </c>
      <c r="B49" s="234"/>
      <c r="C49" s="234"/>
      <c r="D49" s="234"/>
      <c r="E49" s="234"/>
      <c r="F49" s="234"/>
      <c r="G49" s="234"/>
      <c r="H49" s="234"/>
      <c r="I49" s="234"/>
      <c r="J49" s="181"/>
    </row>
    <row r="50" spans="1:10" ht="14.4">
      <c r="A50" s="179"/>
      <c r="J50" s="180"/>
    </row>
    <row r="51" spans="1:10" ht="14.4">
      <c r="A51" s="179"/>
      <c r="J51" s="180"/>
    </row>
    <row r="52" spans="1:10" ht="14.4">
      <c r="A52" s="179"/>
      <c r="J52" s="180"/>
    </row>
    <row r="53" spans="1:10" ht="14.4">
      <c r="A53" s="179"/>
      <c r="J53" s="180"/>
    </row>
    <row r="54" spans="1:10" ht="14.4">
      <c r="A54" s="179"/>
      <c r="J54" s="180"/>
    </row>
    <row r="55" spans="1:10" ht="14.4">
      <c r="A55" s="179"/>
      <c r="J55" s="180"/>
    </row>
    <row r="56" spans="1:10" ht="14.4">
      <c r="A56" s="179"/>
      <c r="J56" s="180"/>
    </row>
    <row r="57" spans="1:10" ht="14.4">
      <c r="A57" s="179"/>
      <c r="J57" s="180"/>
    </row>
    <row r="58" spans="1:10" ht="14.4">
      <c r="A58" s="182"/>
      <c r="B58" s="183"/>
      <c r="C58" s="183"/>
      <c r="D58" s="183"/>
      <c r="E58" s="183"/>
      <c r="F58" s="183"/>
      <c r="G58" s="183"/>
      <c r="H58" s="183"/>
      <c r="I58" s="183"/>
      <c r="J58" s="184"/>
    </row>
  </sheetData>
  <mergeCells count="22">
    <mergeCell ref="F24:H24"/>
    <mergeCell ref="I24:J24"/>
    <mergeCell ref="A1:J1"/>
    <mergeCell ref="A2:J19"/>
    <mergeCell ref="A20:J20"/>
    <mergeCell ref="D21:E21"/>
    <mergeCell ref="D22:E22"/>
    <mergeCell ref="A23:J23"/>
    <mergeCell ref="B24:E24"/>
    <mergeCell ref="A49:I49"/>
    <mergeCell ref="B25:E25"/>
    <mergeCell ref="F25:H25"/>
    <mergeCell ref="I25:J25"/>
    <mergeCell ref="B26:E26"/>
    <mergeCell ref="F26:H26"/>
    <mergeCell ref="I26:J26"/>
    <mergeCell ref="B27:E27"/>
    <mergeCell ref="F27:H27"/>
    <mergeCell ref="I27:J27"/>
    <mergeCell ref="A28:J28"/>
    <mergeCell ref="A29:I29"/>
    <mergeCell ref="A48:J48"/>
  </mergeCells>
  <printOptions horizontalCentered="1" verticalCentered="1"/>
  <pageMargins left="0.15625" right="0.2" top="0.15625" bottom="7.7777777777777807E-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5818E"/>
  </sheetPr>
  <dimension ref="A1:J18"/>
  <sheetViews>
    <sheetView workbookViewId="0"/>
  </sheetViews>
  <sheetFormatPr defaultColWidth="14.44140625" defaultRowHeight="15" customHeight="1"/>
  <cols>
    <col min="1" max="1" width="9.5546875" customWidth="1"/>
    <col min="2" max="2" width="19.88671875" customWidth="1"/>
    <col min="3" max="3" width="19.109375" customWidth="1"/>
    <col min="4" max="4" width="7.44140625" customWidth="1"/>
    <col min="5" max="5" width="9.109375" customWidth="1"/>
    <col min="8" max="8" width="14.6640625" customWidth="1"/>
    <col min="9" max="9" width="31" customWidth="1"/>
    <col min="10" max="10" width="11.5546875" customWidth="1"/>
    <col min="11" max="25" width="9.109375" customWidth="1"/>
  </cols>
  <sheetData>
    <row r="1" spans="1:10" ht="30" customHeight="1">
      <c r="A1" s="372" t="s">
        <v>570</v>
      </c>
      <c r="B1" s="369"/>
      <c r="C1" s="369"/>
      <c r="D1" s="369"/>
      <c r="E1" s="369"/>
      <c r="F1" s="369"/>
      <c r="G1" s="369"/>
      <c r="H1" s="369"/>
      <c r="I1" s="369"/>
      <c r="J1" s="373"/>
    </row>
    <row r="2" spans="1:10" ht="19.5" customHeight="1">
      <c r="A2" s="377" t="s">
        <v>592</v>
      </c>
      <c r="B2" s="366"/>
      <c r="C2" s="366"/>
      <c r="D2" s="366"/>
      <c r="E2" s="366"/>
      <c r="F2" s="366"/>
      <c r="G2" s="366"/>
      <c r="H2" s="366"/>
      <c r="I2" s="366"/>
      <c r="J2" s="367"/>
    </row>
    <row r="3" spans="1:10" ht="19.5" customHeight="1">
      <c r="A3" s="265"/>
      <c r="B3" s="234"/>
      <c r="C3" s="234"/>
      <c r="D3" s="234"/>
      <c r="E3" s="234"/>
      <c r="F3" s="234"/>
      <c r="G3" s="234"/>
      <c r="H3" s="234"/>
      <c r="I3" s="234"/>
      <c r="J3" s="248"/>
    </row>
    <row r="4" spans="1:10" ht="19.5" customHeight="1">
      <c r="A4" s="265"/>
      <c r="B4" s="234"/>
      <c r="C4" s="234"/>
      <c r="D4" s="234"/>
      <c r="E4" s="234"/>
      <c r="F4" s="234"/>
      <c r="G4" s="234"/>
      <c r="H4" s="234"/>
      <c r="I4" s="234"/>
      <c r="J4" s="248"/>
    </row>
    <row r="5" spans="1:10" ht="19.5" customHeight="1">
      <c r="A5" s="265"/>
      <c r="B5" s="234"/>
      <c r="C5" s="234"/>
      <c r="D5" s="234"/>
      <c r="E5" s="234"/>
      <c r="F5" s="234"/>
      <c r="G5" s="234"/>
      <c r="H5" s="234"/>
      <c r="I5" s="234"/>
      <c r="J5" s="248"/>
    </row>
    <row r="6" spans="1:10" ht="19.5" customHeight="1">
      <c r="A6" s="265"/>
      <c r="B6" s="234"/>
      <c r="C6" s="234"/>
      <c r="D6" s="234"/>
      <c r="E6" s="234"/>
      <c r="F6" s="234"/>
      <c r="G6" s="234"/>
      <c r="H6" s="234"/>
      <c r="I6" s="234"/>
      <c r="J6" s="248"/>
    </row>
    <row r="7" spans="1:10" ht="19.5" customHeight="1">
      <c r="A7" s="265"/>
      <c r="B7" s="234"/>
      <c r="C7" s="234"/>
      <c r="D7" s="234"/>
      <c r="E7" s="234"/>
      <c r="F7" s="234"/>
      <c r="G7" s="234"/>
      <c r="H7" s="234"/>
      <c r="I7" s="234"/>
      <c r="J7" s="248"/>
    </row>
    <row r="8" spans="1:10" ht="19.5" customHeight="1">
      <c r="A8" s="265"/>
      <c r="B8" s="234"/>
      <c r="C8" s="234"/>
      <c r="D8" s="234"/>
      <c r="E8" s="234"/>
      <c r="F8" s="234"/>
      <c r="G8" s="234"/>
      <c r="H8" s="234"/>
      <c r="I8" s="234"/>
      <c r="J8" s="248"/>
    </row>
    <row r="9" spans="1:10" ht="19.5" customHeight="1">
      <c r="A9" s="265"/>
      <c r="B9" s="234"/>
      <c r="C9" s="234"/>
      <c r="D9" s="234"/>
      <c r="E9" s="234"/>
      <c r="F9" s="234"/>
      <c r="G9" s="234"/>
      <c r="H9" s="234"/>
      <c r="I9" s="234"/>
      <c r="J9" s="248"/>
    </row>
    <row r="10" spans="1:10" ht="19.5" customHeight="1">
      <c r="A10" s="265"/>
      <c r="B10" s="234"/>
      <c r="C10" s="234"/>
      <c r="D10" s="234"/>
      <c r="E10" s="234"/>
      <c r="F10" s="234"/>
      <c r="G10" s="234"/>
      <c r="H10" s="234"/>
      <c r="I10" s="234"/>
      <c r="J10" s="248"/>
    </row>
    <row r="11" spans="1:10" ht="19.5" customHeight="1">
      <c r="A11" s="265"/>
      <c r="B11" s="234"/>
      <c r="C11" s="234"/>
      <c r="D11" s="234"/>
      <c r="E11" s="234"/>
      <c r="F11" s="234"/>
      <c r="G11" s="234"/>
      <c r="H11" s="234"/>
      <c r="I11" s="234"/>
      <c r="J11" s="248"/>
    </row>
    <row r="12" spans="1:10" ht="19.5" customHeight="1">
      <c r="A12" s="265"/>
      <c r="B12" s="234"/>
      <c r="C12" s="234"/>
      <c r="D12" s="234"/>
      <c r="E12" s="234"/>
      <c r="F12" s="234"/>
      <c r="G12" s="234"/>
      <c r="H12" s="234"/>
      <c r="I12" s="234"/>
      <c r="J12" s="248"/>
    </row>
    <row r="13" spans="1:10" ht="19.5" customHeight="1">
      <c r="A13" s="265"/>
      <c r="B13" s="234"/>
      <c r="C13" s="234"/>
      <c r="D13" s="234"/>
      <c r="E13" s="234"/>
      <c r="F13" s="234"/>
      <c r="G13" s="234"/>
      <c r="H13" s="234"/>
      <c r="I13" s="234"/>
      <c r="J13" s="248"/>
    </row>
    <row r="14" spans="1:10" ht="19.5" customHeight="1">
      <c r="A14" s="265"/>
      <c r="B14" s="234"/>
      <c r="C14" s="234"/>
      <c r="D14" s="234"/>
      <c r="E14" s="234"/>
      <c r="F14" s="234"/>
      <c r="G14" s="234"/>
      <c r="H14" s="234"/>
      <c r="I14" s="234"/>
      <c r="J14" s="248"/>
    </row>
    <row r="15" spans="1:10" ht="19.5" customHeight="1">
      <c r="A15" s="265"/>
      <c r="B15" s="234"/>
      <c r="C15" s="234"/>
      <c r="D15" s="234"/>
      <c r="E15" s="234"/>
      <c r="F15" s="234"/>
      <c r="G15" s="234"/>
      <c r="H15" s="234"/>
      <c r="I15" s="234"/>
      <c r="J15" s="248"/>
    </row>
    <row r="16" spans="1:10" ht="19.5" customHeight="1">
      <c r="A16" s="265"/>
      <c r="B16" s="234"/>
      <c r="C16" s="234"/>
      <c r="D16" s="234"/>
      <c r="E16" s="234"/>
      <c r="F16" s="234"/>
      <c r="G16" s="234"/>
      <c r="H16" s="234"/>
      <c r="I16" s="234"/>
      <c r="J16" s="248"/>
    </row>
    <row r="17" spans="1:10" ht="19.5" customHeight="1">
      <c r="A17" s="265"/>
      <c r="B17" s="234"/>
      <c r="C17" s="234"/>
      <c r="D17" s="234"/>
      <c r="E17" s="234"/>
      <c r="F17" s="234"/>
      <c r="G17" s="234"/>
      <c r="H17" s="234"/>
      <c r="I17" s="234"/>
      <c r="J17" s="248"/>
    </row>
    <row r="18" spans="1:10" ht="19.5" customHeight="1">
      <c r="A18" s="378"/>
      <c r="B18" s="347"/>
      <c r="C18" s="347"/>
      <c r="D18" s="347"/>
      <c r="E18" s="347"/>
      <c r="F18" s="347"/>
      <c r="G18" s="347"/>
      <c r="H18" s="347"/>
      <c r="I18" s="347"/>
      <c r="J18" s="351"/>
    </row>
  </sheetData>
  <mergeCells count="2">
    <mergeCell ref="A1:J1"/>
    <mergeCell ref="A2:J18"/>
  </mergeCells>
  <printOptions horizontalCentered="1" verticalCentered="1"/>
  <pageMargins left="0.15625" right="0.2" top="0.15625" bottom="7.7777777777777807E-2" header="0" footer="0"/>
  <pageSetup paperSize="9" scale="7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47"/>
  <sheetViews>
    <sheetView workbookViewId="0"/>
  </sheetViews>
  <sheetFormatPr defaultColWidth="14.44140625" defaultRowHeight="15" customHeight="1"/>
  <cols>
    <col min="1" max="1" width="4.109375" customWidth="1"/>
    <col min="2" max="3" width="3.109375" customWidth="1"/>
    <col min="4" max="4" width="2.88671875" customWidth="1"/>
    <col min="5" max="5" width="2.44140625" customWidth="1"/>
    <col min="6" max="6" width="3.109375" customWidth="1"/>
    <col min="7" max="13" width="2.5546875" customWidth="1"/>
    <col min="14" max="14" width="3.109375" customWidth="1"/>
    <col min="15" max="18" width="2.5546875" customWidth="1"/>
    <col min="19" max="19" width="2.88671875" customWidth="1"/>
    <col min="20" max="20" width="2.44140625" customWidth="1"/>
    <col min="21" max="21" width="2.5546875" customWidth="1"/>
    <col min="22" max="22" width="2.88671875" customWidth="1"/>
    <col min="23" max="23" width="2.44140625" customWidth="1"/>
    <col min="24" max="26" width="3.5546875" customWidth="1"/>
    <col min="27" max="27" width="4" customWidth="1"/>
    <col min="28" max="28" width="3.5546875" customWidth="1"/>
    <col min="29" max="30" width="2.88671875" customWidth="1"/>
    <col min="31" max="31" width="0.5546875" customWidth="1"/>
    <col min="32" max="32" width="2.5546875" customWidth="1"/>
    <col min="33" max="35" width="2.44140625" customWidth="1"/>
    <col min="36" max="38" width="2.5546875" customWidth="1"/>
    <col min="39" max="39" width="0.44140625" customWidth="1"/>
    <col min="40" max="40" width="2.5546875" customWidth="1"/>
    <col min="41" max="41" width="3" customWidth="1"/>
    <col min="42" max="42" width="2.5546875" customWidth="1"/>
    <col min="43" max="43" width="2.109375" customWidth="1"/>
    <col min="44" max="45" width="2.88671875" hidden="1" customWidth="1"/>
    <col min="46" max="46" width="0.44140625" customWidth="1"/>
    <col min="47" max="62" width="2.88671875" customWidth="1"/>
  </cols>
  <sheetData>
    <row r="1" spans="1:62" ht="27.75" customHeight="1">
      <c r="A1" s="392" t="s">
        <v>593</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43"/>
      <c r="AU1" s="17"/>
      <c r="AV1" s="17"/>
      <c r="AW1" s="17"/>
      <c r="AX1" s="17"/>
      <c r="AY1" s="17"/>
      <c r="AZ1" s="17"/>
      <c r="BA1" s="17"/>
      <c r="BB1" s="17"/>
      <c r="BC1" s="17"/>
      <c r="BD1" s="17"/>
      <c r="BE1" s="17"/>
      <c r="BF1" s="17"/>
      <c r="BG1" s="17"/>
      <c r="BH1" s="17"/>
      <c r="BI1" s="17"/>
      <c r="BJ1" s="17"/>
    </row>
    <row r="2" spans="1:62" ht="22.5" customHeight="1">
      <c r="A2" s="393" t="s">
        <v>36</v>
      </c>
      <c r="B2" s="394" t="s">
        <v>594</v>
      </c>
      <c r="C2" s="395"/>
      <c r="D2" s="395"/>
      <c r="E2" s="396"/>
      <c r="F2" s="397" t="s">
        <v>595</v>
      </c>
      <c r="G2" s="303"/>
      <c r="H2" s="303"/>
      <c r="I2" s="303"/>
      <c r="J2" s="303"/>
      <c r="K2" s="303"/>
      <c r="L2" s="303"/>
      <c r="M2" s="303"/>
      <c r="N2" s="303"/>
      <c r="O2" s="303"/>
      <c r="P2" s="303"/>
      <c r="Q2" s="303"/>
      <c r="R2" s="303"/>
      <c r="S2" s="303"/>
      <c r="T2" s="303"/>
      <c r="U2" s="185"/>
      <c r="V2" s="185"/>
      <c r="W2" s="185"/>
      <c r="X2" s="398" t="s">
        <v>596</v>
      </c>
      <c r="Y2" s="301"/>
      <c r="Z2" s="301"/>
      <c r="AA2" s="301"/>
      <c r="AB2" s="301"/>
      <c r="AC2" s="301"/>
      <c r="AD2" s="301"/>
      <c r="AE2" s="301"/>
      <c r="AF2" s="301"/>
      <c r="AG2" s="301"/>
      <c r="AH2" s="301"/>
      <c r="AI2" s="301"/>
      <c r="AJ2" s="301"/>
      <c r="AK2" s="301"/>
      <c r="AL2" s="301"/>
      <c r="AM2" s="301"/>
      <c r="AN2" s="301"/>
      <c r="AO2" s="301"/>
      <c r="AP2" s="301"/>
      <c r="AQ2" s="301"/>
      <c r="AR2" s="186" t="s">
        <v>40</v>
      </c>
      <c r="AS2" s="187"/>
      <c r="AT2" s="188"/>
      <c r="AU2" s="17"/>
      <c r="AV2" s="17"/>
      <c r="AW2" s="17"/>
      <c r="AX2" s="17"/>
      <c r="AY2" s="305"/>
      <c r="AZ2" s="234"/>
      <c r="BA2" s="234"/>
      <c r="BB2" s="234"/>
      <c r="BC2" s="234"/>
      <c r="BD2" s="234"/>
      <c r="BE2" s="234"/>
      <c r="BF2" s="234"/>
      <c r="BG2" s="17"/>
      <c r="BH2" s="17"/>
      <c r="BI2" s="17"/>
      <c r="BJ2" s="17"/>
    </row>
    <row r="3" spans="1:62" ht="87.75" customHeight="1">
      <c r="A3" s="310"/>
      <c r="B3" s="312"/>
      <c r="C3" s="262"/>
      <c r="D3" s="262"/>
      <c r="E3" s="296"/>
      <c r="F3" s="399" t="s">
        <v>597</v>
      </c>
      <c r="G3" s="236"/>
      <c r="H3" s="236"/>
      <c r="I3" s="292"/>
      <c r="J3" s="399" t="s">
        <v>598</v>
      </c>
      <c r="K3" s="236"/>
      <c r="L3" s="236"/>
      <c r="M3" s="292"/>
      <c r="N3" s="399" t="s">
        <v>599</v>
      </c>
      <c r="O3" s="236"/>
      <c r="P3" s="236"/>
      <c r="Q3" s="292"/>
      <c r="R3" s="400" t="s">
        <v>600</v>
      </c>
      <c r="S3" s="255"/>
      <c r="T3" s="257"/>
      <c r="U3" s="400" t="s">
        <v>601</v>
      </c>
      <c r="V3" s="255"/>
      <c r="W3" s="257"/>
      <c r="X3" s="401" t="s">
        <v>602</v>
      </c>
      <c r="Y3" s="239"/>
      <c r="Z3" s="239"/>
      <c r="AA3" s="239"/>
      <c r="AB3" s="239"/>
      <c r="AC3" s="239"/>
      <c r="AD3" s="239"/>
      <c r="AE3" s="243"/>
      <c r="AF3" s="399" t="s">
        <v>603</v>
      </c>
      <c r="AG3" s="236"/>
      <c r="AH3" s="236"/>
      <c r="AI3" s="292"/>
      <c r="AJ3" s="399" t="s">
        <v>604</v>
      </c>
      <c r="AK3" s="236"/>
      <c r="AL3" s="236"/>
      <c r="AM3" s="292"/>
      <c r="AN3" s="399" t="s">
        <v>605</v>
      </c>
      <c r="AO3" s="236"/>
      <c r="AP3" s="236"/>
      <c r="AQ3" s="292"/>
      <c r="AR3" s="189"/>
      <c r="AS3" s="189"/>
      <c r="AT3" s="190"/>
      <c r="AU3" s="17"/>
      <c r="AV3" s="17"/>
      <c r="AW3" s="17"/>
      <c r="AX3" s="17"/>
      <c r="AY3" s="305"/>
      <c r="AZ3" s="234"/>
      <c r="BA3" s="234"/>
      <c r="BB3" s="234"/>
      <c r="BC3" s="305"/>
      <c r="BD3" s="234"/>
      <c r="BE3" s="234"/>
      <c r="BF3" s="234"/>
      <c r="BG3" s="305"/>
      <c r="BH3" s="234"/>
      <c r="BI3" s="234"/>
      <c r="BJ3" s="234"/>
    </row>
    <row r="4" spans="1:62" ht="15" customHeight="1">
      <c r="A4" s="380">
        <v>1</v>
      </c>
      <c r="B4" s="381"/>
      <c r="C4" s="255"/>
      <c r="D4" s="255"/>
      <c r="E4" s="257"/>
      <c r="F4" s="61"/>
      <c r="G4" s="382" t="s">
        <v>606</v>
      </c>
      <c r="H4" s="236"/>
      <c r="I4" s="292"/>
      <c r="J4" s="191"/>
      <c r="K4" s="382" t="s">
        <v>606</v>
      </c>
      <c r="L4" s="236"/>
      <c r="M4" s="292"/>
      <c r="N4" s="61"/>
      <c r="O4" s="382" t="s">
        <v>606</v>
      </c>
      <c r="P4" s="236"/>
      <c r="Q4" s="292"/>
      <c r="R4" s="62"/>
      <c r="S4" s="390" t="s">
        <v>607</v>
      </c>
      <c r="T4" s="236"/>
      <c r="U4" s="70"/>
      <c r="V4" s="390" t="s">
        <v>607</v>
      </c>
      <c r="W4" s="292"/>
      <c r="X4" s="391"/>
      <c r="Y4" s="255"/>
      <c r="Z4" s="255"/>
      <c r="AA4" s="255"/>
      <c r="AB4" s="255"/>
      <c r="AC4" s="255"/>
      <c r="AD4" s="255"/>
      <c r="AE4" s="257"/>
      <c r="AF4" s="61"/>
      <c r="AG4" s="382" t="s">
        <v>608</v>
      </c>
      <c r="AH4" s="236"/>
      <c r="AI4" s="292"/>
      <c r="AJ4" s="191"/>
      <c r="AK4" s="382" t="s">
        <v>609</v>
      </c>
      <c r="AL4" s="236"/>
      <c r="AM4" s="292"/>
      <c r="AN4" s="61"/>
      <c r="AO4" s="382" t="s">
        <v>610</v>
      </c>
      <c r="AP4" s="236"/>
      <c r="AQ4" s="292"/>
      <c r="AR4" s="192"/>
      <c r="AS4" s="192"/>
      <c r="AT4" s="193"/>
      <c r="AU4" s="17"/>
      <c r="AV4" s="17"/>
      <c r="AW4" s="17"/>
      <c r="AX4" s="17"/>
      <c r="AY4" s="17"/>
      <c r="AZ4" s="17"/>
      <c r="BA4" s="17"/>
      <c r="BB4" s="17"/>
      <c r="BC4" s="17"/>
      <c r="BD4" s="17"/>
      <c r="BE4" s="17"/>
      <c r="BF4" s="17"/>
      <c r="BG4" s="17"/>
      <c r="BH4" s="17"/>
      <c r="BI4" s="17"/>
      <c r="BJ4" s="17"/>
    </row>
    <row r="5" spans="1:62" ht="15" customHeight="1">
      <c r="A5" s="323"/>
      <c r="B5" s="321"/>
      <c r="C5" s="234"/>
      <c r="D5" s="234"/>
      <c r="E5" s="258"/>
      <c r="F5" s="61"/>
      <c r="G5" s="383" t="s">
        <v>611</v>
      </c>
      <c r="H5" s="301"/>
      <c r="I5" s="384"/>
      <c r="J5" s="191"/>
      <c r="K5" s="383" t="s">
        <v>611</v>
      </c>
      <c r="L5" s="301"/>
      <c r="M5" s="384"/>
      <c r="N5" s="61"/>
      <c r="O5" s="383" t="s">
        <v>611</v>
      </c>
      <c r="P5" s="301"/>
      <c r="Q5" s="384"/>
      <c r="R5" s="62"/>
      <c r="S5" s="385" t="s">
        <v>612</v>
      </c>
      <c r="T5" s="301"/>
      <c r="U5" s="70"/>
      <c r="V5" s="385" t="s">
        <v>612</v>
      </c>
      <c r="W5" s="384"/>
      <c r="X5" s="321"/>
      <c r="Y5" s="234"/>
      <c r="Z5" s="234"/>
      <c r="AA5" s="234"/>
      <c r="AB5" s="234"/>
      <c r="AC5" s="234"/>
      <c r="AD5" s="234"/>
      <c r="AE5" s="258"/>
      <c r="AF5" s="61"/>
      <c r="AG5" s="383" t="s">
        <v>613</v>
      </c>
      <c r="AH5" s="301"/>
      <c r="AI5" s="384"/>
      <c r="AJ5" s="191"/>
      <c r="AK5" s="383" t="s">
        <v>614</v>
      </c>
      <c r="AL5" s="301"/>
      <c r="AM5" s="384"/>
      <c r="AN5" s="61"/>
      <c r="AO5" s="383" t="s">
        <v>615</v>
      </c>
      <c r="AP5" s="301"/>
      <c r="AQ5" s="384"/>
      <c r="AR5" s="192"/>
      <c r="AS5" s="192"/>
      <c r="AT5" s="193"/>
      <c r="AU5" s="17"/>
      <c r="AV5" s="17"/>
      <c r="AW5" s="17"/>
      <c r="AX5" s="17"/>
      <c r="AY5" s="17"/>
      <c r="AZ5" s="17"/>
      <c r="BA5" s="17"/>
      <c r="BB5" s="17"/>
      <c r="BC5" s="17"/>
      <c r="BD5" s="17"/>
      <c r="BE5" s="17"/>
      <c r="BF5" s="17"/>
      <c r="BG5" s="17"/>
      <c r="BH5" s="17"/>
      <c r="BI5" s="17"/>
      <c r="BJ5" s="17"/>
    </row>
    <row r="6" spans="1:62" ht="15" customHeight="1">
      <c r="A6" s="310"/>
      <c r="B6" s="312"/>
      <c r="C6" s="262"/>
      <c r="D6" s="262"/>
      <c r="E6" s="296"/>
      <c r="F6" s="194"/>
      <c r="G6" s="379" t="s">
        <v>612</v>
      </c>
      <c r="H6" s="303"/>
      <c r="I6" s="304"/>
      <c r="J6" s="195"/>
      <c r="K6" s="379" t="s">
        <v>612</v>
      </c>
      <c r="L6" s="303"/>
      <c r="M6" s="304"/>
      <c r="N6" s="194"/>
      <c r="O6" s="379" t="s">
        <v>612</v>
      </c>
      <c r="P6" s="303"/>
      <c r="Q6" s="304"/>
      <c r="R6" s="388"/>
      <c r="S6" s="303"/>
      <c r="T6" s="303"/>
      <c r="U6" s="389"/>
      <c r="V6" s="303"/>
      <c r="W6" s="304"/>
      <c r="X6" s="312"/>
      <c r="Y6" s="262"/>
      <c r="Z6" s="262"/>
      <c r="AA6" s="262"/>
      <c r="AB6" s="262"/>
      <c r="AC6" s="262"/>
      <c r="AD6" s="262"/>
      <c r="AE6" s="296"/>
      <c r="AF6" s="61"/>
      <c r="AG6" s="387" t="s">
        <v>616</v>
      </c>
      <c r="AH6" s="303"/>
      <c r="AI6" s="304"/>
      <c r="AJ6" s="191"/>
      <c r="AK6" s="379" t="s">
        <v>617</v>
      </c>
      <c r="AL6" s="303"/>
      <c r="AM6" s="304"/>
      <c r="AN6" s="61"/>
      <c r="AO6" s="386"/>
      <c r="AP6" s="303"/>
      <c r="AQ6" s="304"/>
      <c r="AR6" s="192"/>
      <c r="AS6" s="192"/>
      <c r="AT6" s="193"/>
      <c r="AU6" s="17"/>
      <c r="AV6" s="17"/>
      <c r="AW6" s="17"/>
      <c r="AX6" s="17"/>
      <c r="AY6" s="17"/>
      <c r="AZ6" s="17"/>
      <c r="BA6" s="17"/>
      <c r="BB6" s="17"/>
      <c r="BC6" s="17"/>
      <c r="BD6" s="17"/>
      <c r="BE6" s="17"/>
      <c r="BF6" s="17"/>
      <c r="BG6" s="17"/>
      <c r="BH6" s="17"/>
      <c r="BI6" s="17"/>
      <c r="BJ6" s="17"/>
    </row>
    <row r="7" spans="1:62" ht="15" customHeight="1">
      <c r="A7" s="380">
        <v>2</v>
      </c>
      <c r="B7" s="381"/>
      <c r="C7" s="255"/>
      <c r="D7" s="255"/>
      <c r="E7" s="257"/>
      <c r="F7" s="61"/>
      <c r="G7" s="382" t="s">
        <v>606</v>
      </c>
      <c r="H7" s="236"/>
      <c r="I7" s="292"/>
      <c r="J7" s="191"/>
      <c r="K7" s="382" t="s">
        <v>606</v>
      </c>
      <c r="L7" s="236"/>
      <c r="M7" s="292"/>
      <c r="N7" s="61"/>
      <c r="O7" s="382" t="s">
        <v>606</v>
      </c>
      <c r="P7" s="236"/>
      <c r="Q7" s="292"/>
      <c r="R7" s="62"/>
      <c r="S7" s="390" t="s">
        <v>607</v>
      </c>
      <c r="T7" s="236"/>
      <c r="U7" s="70"/>
      <c r="V7" s="390" t="s">
        <v>607</v>
      </c>
      <c r="W7" s="292"/>
      <c r="X7" s="391"/>
      <c r="Y7" s="255"/>
      <c r="Z7" s="255"/>
      <c r="AA7" s="255"/>
      <c r="AB7" s="255"/>
      <c r="AC7" s="255"/>
      <c r="AD7" s="255"/>
      <c r="AE7" s="257"/>
      <c r="AF7" s="61"/>
      <c r="AG7" s="382" t="s">
        <v>608</v>
      </c>
      <c r="AH7" s="236"/>
      <c r="AI7" s="292"/>
      <c r="AJ7" s="191"/>
      <c r="AK7" s="382" t="s">
        <v>609</v>
      </c>
      <c r="AL7" s="236"/>
      <c r="AM7" s="292"/>
      <c r="AN7" s="61"/>
      <c r="AO7" s="382" t="s">
        <v>610</v>
      </c>
      <c r="AP7" s="236"/>
      <c r="AQ7" s="292"/>
      <c r="AR7" s="192"/>
      <c r="AS7" s="192"/>
      <c r="AT7" s="193"/>
      <c r="AU7" s="17"/>
      <c r="AV7" s="17"/>
      <c r="AW7" s="17"/>
      <c r="AX7" s="17"/>
      <c r="AY7" s="17"/>
      <c r="AZ7" s="17"/>
      <c r="BA7" s="17"/>
      <c r="BB7" s="17"/>
      <c r="BC7" s="17"/>
      <c r="BD7" s="17"/>
      <c r="BE7" s="17"/>
      <c r="BF7" s="17"/>
      <c r="BG7" s="17"/>
      <c r="BH7" s="17"/>
      <c r="BI7" s="17"/>
      <c r="BJ7" s="17"/>
    </row>
    <row r="8" spans="1:62" ht="15" customHeight="1">
      <c r="A8" s="323"/>
      <c r="B8" s="321"/>
      <c r="C8" s="234"/>
      <c r="D8" s="234"/>
      <c r="E8" s="258"/>
      <c r="F8" s="61"/>
      <c r="G8" s="383" t="s">
        <v>611</v>
      </c>
      <c r="H8" s="301"/>
      <c r="I8" s="384"/>
      <c r="J8" s="191"/>
      <c r="K8" s="383" t="s">
        <v>611</v>
      </c>
      <c r="L8" s="301"/>
      <c r="M8" s="384"/>
      <c r="N8" s="61"/>
      <c r="O8" s="383" t="s">
        <v>611</v>
      </c>
      <c r="P8" s="301"/>
      <c r="Q8" s="384"/>
      <c r="R8" s="62"/>
      <c r="S8" s="385" t="s">
        <v>612</v>
      </c>
      <c r="T8" s="301"/>
      <c r="U8" s="70"/>
      <c r="V8" s="385" t="s">
        <v>612</v>
      </c>
      <c r="W8" s="384"/>
      <c r="X8" s="321"/>
      <c r="Y8" s="234"/>
      <c r="Z8" s="234"/>
      <c r="AA8" s="234"/>
      <c r="AB8" s="234"/>
      <c r="AC8" s="234"/>
      <c r="AD8" s="234"/>
      <c r="AE8" s="258"/>
      <c r="AF8" s="61"/>
      <c r="AG8" s="383" t="s">
        <v>613</v>
      </c>
      <c r="AH8" s="301"/>
      <c r="AI8" s="384"/>
      <c r="AJ8" s="191"/>
      <c r="AK8" s="383" t="s">
        <v>614</v>
      </c>
      <c r="AL8" s="301"/>
      <c r="AM8" s="384"/>
      <c r="AN8" s="61"/>
      <c r="AO8" s="383" t="s">
        <v>618</v>
      </c>
      <c r="AP8" s="301"/>
      <c r="AQ8" s="384"/>
      <c r="AR8" s="192"/>
      <c r="AS8" s="192"/>
      <c r="AT8" s="193"/>
      <c r="AU8" s="17"/>
      <c r="AV8" s="17"/>
      <c r="AW8" s="17"/>
      <c r="AX8" s="17"/>
      <c r="AY8" s="17"/>
      <c r="AZ8" s="17"/>
      <c r="BA8" s="17"/>
      <c r="BB8" s="17"/>
      <c r="BC8" s="17"/>
      <c r="BD8" s="17"/>
      <c r="BE8" s="17"/>
      <c r="BF8" s="17"/>
      <c r="BG8" s="17"/>
      <c r="BH8" s="17"/>
      <c r="BI8" s="17"/>
      <c r="BJ8" s="17"/>
    </row>
    <row r="9" spans="1:62" ht="15" customHeight="1">
      <c r="A9" s="310"/>
      <c r="B9" s="312"/>
      <c r="C9" s="262"/>
      <c r="D9" s="262"/>
      <c r="E9" s="296"/>
      <c r="F9" s="194"/>
      <c r="G9" s="379" t="s">
        <v>612</v>
      </c>
      <c r="H9" s="303"/>
      <c r="I9" s="304"/>
      <c r="J9" s="195"/>
      <c r="K9" s="379" t="s">
        <v>612</v>
      </c>
      <c r="L9" s="303"/>
      <c r="M9" s="304"/>
      <c r="N9" s="194"/>
      <c r="O9" s="379" t="s">
        <v>612</v>
      </c>
      <c r="P9" s="303"/>
      <c r="Q9" s="304"/>
      <c r="R9" s="388"/>
      <c r="S9" s="303"/>
      <c r="T9" s="303"/>
      <c r="U9" s="389"/>
      <c r="V9" s="303"/>
      <c r="W9" s="304"/>
      <c r="X9" s="312"/>
      <c r="Y9" s="262"/>
      <c r="Z9" s="262"/>
      <c r="AA9" s="262"/>
      <c r="AB9" s="262"/>
      <c r="AC9" s="262"/>
      <c r="AD9" s="262"/>
      <c r="AE9" s="296"/>
      <c r="AF9" s="61"/>
      <c r="AG9" s="387" t="s">
        <v>616</v>
      </c>
      <c r="AH9" s="303"/>
      <c r="AI9" s="304"/>
      <c r="AJ9" s="191"/>
      <c r="AK9" s="379" t="s">
        <v>617</v>
      </c>
      <c r="AL9" s="303"/>
      <c r="AM9" s="304"/>
      <c r="AN9" s="61"/>
      <c r="AO9" s="386"/>
      <c r="AP9" s="303"/>
      <c r="AQ9" s="304"/>
      <c r="AR9" s="192"/>
      <c r="AS9" s="192"/>
      <c r="AT9" s="193"/>
      <c r="AU9" s="17"/>
      <c r="AV9" s="17"/>
      <c r="AW9" s="17"/>
      <c r="AX9" s="17"/>
      <c r="AY9" s="17"/>
      <c r="AZ9" s="17"/>
      <c r="BA9" s="17"/>
      <c r="BB9" s="17"/>
      <c r="BC9" s="17"/>
      <c r="BD9" s="17"/>
      <c r="BE9" s="17"/>
      <c r="BF9" s="17"/>
      <c r="BG9" s="17"/>
      <c r="BH9" s="17"/>
      <c r="BI9" s="17"/>
      <c r="BJ9" s="17"/>
    </row>
    <row r="10" spans="1:62" ht="15" customHeight="1">
      <c r="A10" s="380">
        <v>3</v>
      </c>
      <c r="B10" s="381"/>
      <c r="C10" s="255"/>
      <c r="D10" s="255"/>
      <c r="E10" s="257"/>
      <c r="F10" s="61"/>
      <c r="G10" s="382" t="s">
        <v>606</v>
      </c>
      <c r="H10" s="236"/>
      <c r="I10" s="292"/>
      <c r="J10" s="191"/>
      <c r="K10" s="382" t="s">
        <v>606</v>
      </c>
      <c r="L10" s="236"/>
      <c r="M10" s="292"/>
      <c r="N10" s="61"/>
      <c r="O10" s="382" t="s">
        <v>606</v>
      </c>
      <c r="P10" s="236"/>
      <c r="Q10" s="292"/>
      <c r="R10" s="62"/>
      <c r="S10" s="390" t="s">
        <v>607</v>
      </c>
      <c r="T10" s="236"/>
      <c r="U10" s="70"/>
      <c r="V10" s="390" t="s">
        <v>607</v>
      </c>
      <c r="W10" s="292"/>
      <c r="X10" s="391"/>
      <c r="Y10" s="255"/>
      <c r="Z10" s="255"/>
      <c r="AA10" s="255"/>
      <c r="AB10" s="255"/>
      <c r="AC10" s="255"/>
      <c r="AD10" s="255"/>
      <c r="AE10" s="257"/>
      <c r="AF10" s="61"/>
      <c r="AG10" s="382" t="s">
        <v>608</v>
      </c>
      <c r="AH10" s="236"/>
      <c r="AI10" s="292"/>
      <c r="AJ10" s="191"/>
      <c r="AK10" s="382" t="s">
        <v>609</v>
      </c>
      <c r="AL10" s="236"/>
      <c r="AM10" s="292"/>
      <c r="AN10" s="61"/>
      <c r="AO10" s="382" t="s">
        <v>610</v>
      </c>
      <c r="AP10" s="236"/>
      <c r="AQ10" s="292"/>
      <c r="AR10" s="192"/>
      <c r="AS10" s="192"/>
      <c r="AT10" s="193"/>
      <c r="AU10" s="17"/>
      <c r="AV10" s="17"/>
      <c r="AW10" s="17"/>
      <c r="AX10" s="17"/>
      <c r="AY10" s="17"/>
      <c r="AZ10" s="17"/>
      <c r="BA10" s="17"/>
      <c r="BB10" s="17"/>
      <c r="BC10" s="17"/>
      <c r="BD10" s="17"/>
      <c r="BE10" s="17"/>
      <c r="BF10" s="17"/>
      <c r="BG10" s="17"/>
      <c r="BH10" s="17"/>
      <c r="BI10" s="17"/>
      <c r="BJ10" s="17"/>
    </row>
    <row r="11" spans="1:62" ht="15" customHeight="1">
      <c r="A11" s="323"/>
      <c r="B11" s="321"/>
      <c r="C11" s="234"/>
      <c r="D11" s="234"/>
      <c r="E11" s="258"/>
      <c r="F11" s="61"/>
      <c r="G11" s="383" t="s">
        <v>611</v>
      </c>
      <c r="H11" s="301"/>
      <c r="I11" s="384"/>
      <c r="J11" s="191"/>
      <c r="K11" s="383" t="s">
        <v>611</v>
      </c>
      <c r="L11" s="301"/>
      <c r="M11" s="384"/>
      <c r="N11" s="61"/>
      <c r="O11" s="383" t="s">
        <v>611</v>
      </c>
      <c r="P11" s="301"/>
      <c r="Q11" s="384"/>
      <c r="R11" s="62"/>
      <c r="S11" s="385" t="s">
        <v>612</v>
      </c>
      <c r="T11" s="301"/>
      <c r="U11" s="70"/>
      <c r="V11" s="385" t="s">
        <v>612</v>
      </c>
      <c r="W11" s="384"/>
      <c r="X11" s="321"/>
      <c r="Y11" s="234"/>
      <c r="Z11" s="234"/>
      <c r="AA11" s="234"/>
      <c r="AB11" s="234"/>
      <c r="AC11" s="234"/>
      <c r="AD11" s="234"/>
      <c r="AE11" s="258"/>
      <c r="AF11" s="61"/>
      <c r="AG11" s="383" t="s">
        <v>613</v>
      </c>
      <c r="AH11" s="301"/>
      <c r="AI11" s="384"/>
      <c r="AJ11" s="191"/>
      <c r="AK11" s="383" t="s">
        <v>614</v>
      </c>
      <c r="AL11" s="301"/>
      <c r="AM11" s="384"/>
      <c r="AN11" s="61"/>
      <c r="AO11" s="383" t="s">
        <v>619</v>
      </c>
      <c r="AP11" s="301"/>
      <c r="AQ11" s="384"/>
      <c r="AR11" s="192"/>
      <c r="AS11" s="192"/>
      <c r="AT11" s="193"/>
      <c r="AU11" s="17"/>
      <c r="AV11" s="17"/>
      <c r="AW11" s="17"/>
      <c r="AX11" s="17"/>
      <c r="AY11" s="17"/>
      <c r="AZ11" s="17"/>
      <c r="BA11" s="17"/>
      <c r="BB11" s="17"/>
      <c r="BC11" s="17"/>
      <c r="BD11" s="17"/>
      <c r="BE11" s="17"/>
      <c r="BF11" s="17"/>
      <c r="BG11" s="17"/>
      <c r="BH11" s="17"/>
      <c r="BI11" s="17"/>
      <c r="BJ11" s="17"/>
    </row>
    <row r="12" spans="1:62" ht="15" customHeight="1">
      <c r="A12" s="310"/>
      <c r="B12" s="312"/>
      <c r="C12" s="262"/>
      <c r="D12" s="262"/>
      <c r="E12" s="296"/>
      <c r="F12" s="194"/>
      <c r="G12" s="379" t="s">
        <v>612</v>
      </c>
      <c r="H12" s="303"/>
      <c r="I12" s="304"/>
      <c r="J12" s="195"/>
      <c r="K12" s="379" t="s">
        <v>612</v>
      </c>
      <c r="L12" s="303"/>
      <c r="M12" s="304"/>
      <c r="N12" s="194"/>
      <c r="O12" s="379" t="s">
        <v>612</v>
      </c>
      <c r="P12" s="303"/>
      <c r="Q12" s="304"/>
      <c r="R12" s="388"/>
      <c r="S12" s="303"/>
      <c r="T12" s="303"/>
      <c r="U12" s="389"/>
      <c r="V12" s="303"/>
      <c r="W12" s="304"/>
      <c r="X12" s="312"/>
      <c r="Y12" s="262"/>
      <c r="Z12" s="262"/>
      <c r="AA12" s="262"/>
      <c r="AB12" s="262"/>
      <c r="AC12" s="262"/>
      <c r="AD12" s="262"/>
      <c r="AE12" s="296"/>
      <c r="AF12" s="61"/>
      <c r="AG12" s="387" t="s">
        <v>616</v>
      </c>
      <c r="AH12" s="303"/>
      <c r="AI12" s="304"/>
      <c r="AJ12" s="191"/>
      <c r="AK12" s="379" t="s">
        <v>617</v>
      </c>
      <c r="AL12" s="303"/>
      <c r="AM12" s="304"/>
      <c r="AN12" s="61"/>
      <c r="AO12" s="386"/>
      <c r="AP12" s="303"/>
      <c r="AQ12" s="304"/>
      <c r="AR12" s="192"/>
      <c r="AS12" s="192"/>
      <c r="AT12" s="193"/>
      <c r="AU12" s="17"/>
      <c r="AV12" s="17"/>
      <c r="AW12" s="17"/>
      <c r="AX12" s="17"/>
      <c r="AY12" s="17"/>
      <c r="AZ12" s="17"/>
      <c r="BA12" s="17"/>
      <c r="BB12" s="17"/>
      <c r="BC12" s="17"/>
      <c r="BD12" s="17"/>
      <c r="BE12" s="17"/>
      <c r="BF12" s="17"/>
      <c r="BG12" s="17"/>
      <c r="BH12" s="17"/>
      <c r="BI12" s="17"/>
      <c r="BJ12" s="17"/>
    </row>
    <row r="13" spans="1:62" ht="15" customHeight="1">
      <c r="A13" s="380">
        <v>4</v>
      </c>
      <c r="B13" s="381"/>
      <c r="C13" s="255"/>
      <c r="D13" s="255"/>
      <c r="E13" s="257"/>
      <c r="F13" s="61"/>
      <c r="G13" s="382" t="s">
        <v>606</v>
      </c>
      <c r="H13" s="236"/>
      <c r="I13" s="292"/>
      <c r="J13" s="191"/>
      <c r="K13" s="382" t="s">
        <v>606</v>
      </c>
      <c r="L13" s="236"/>
      <c r="M13" s="292"/>
      <c r="N13" s="61"/>
      <c r="O13" s="382" t="s">
        <v>606</v>
      </c>
      <c r="P13" s="236"/>
      <c r="Q13" s="292"/>
      <c r="R13" s="62"/>
      <c r="S13" s="390" t="s">
        <v>607</v>
      </c>
      <c r="T13" s="236"/>
      <c r="U13" s="70"/>
      <c r="V13" s="390" t="s">
        <v>607</v>
      </c>
      <c r="W13" s="292"/>
      <c r="X13" s="391"/>
      <c r="Y13" s="255"/>
      <c r="Z13" s="255"/>
      <c r="AA13" s="255"/>
      <c r="AB13" s="255"/>
      <c r="AC13" s="255"/>
      <c r="AD13" s="255"/>
      <c r="AE13" s="257"/>
      <c r="AF13" s="61"/>
      <c r="AG13" s="382" t="s">
        <v>608</v>
      </c>
      <c r="AH13" s="236"/>
      <c r="AI13" s="292"/>
      <c r="AJ13" s="191"/>
      <c r="AK13" s="382" t="s">
        <v>609</v>
      </c>
      <c r="AL13" s="236"/>
      <c r="AM13" s="292"/>
      <c r="AN13" s="61"/>
      <c r="AO13" s="382" t="s">
        <v>610</v>
      </c>
      <c r="AP13" s="236"/>
      <c r="AQ13" s="292"/>
      <c r="AR13" s="192"/>
      <c r="AS13" s="192"/>
      <c r="AT13" s="193"/>
      <c r="AU13" s="17"/>
      <c r="AV13" s="17"/>
      <c r="AW13" s="17"/>
      <c r="AX13" s="17"/>
      <c r="AY13" s="17"/>
      <c r="AZ13" s="17"/>
      <c r="BA13" s="17"/>
      <c r="BB13" s="17"/>
      <c r="BC13" s="17"/>
      <c r="BD13" s="17"/>
      <c r="BE13" s="17"/>
      <c r="BF13" s="17"/>
      <c r="BG13" s="17"/>
      <c r="BH13" s="17"/>
      <c r="BI13" s="17"/>
      <c r="BJ13" s="17"/>
    </row>
    <row r="14" spans="1:62" ht="15" customHeight="1">
      <c r="A14" s="323"/>
      <c r="B14" s="321"/>
      <c r="C14" s="234"/>
      <c r="D14" s="234"/>
      <c r="E14" s="258"/>
      <c r="F14" s="61"/>
      <c r="G14" s="383" t="s">
        <v>611</v>
      </c>
      <c r="H14" s="301"/>
      <c r="I14" s="384"/>
      <c r="J14" s="191"/>
      <c r="K14" s="383" t="s">
        <v>611</v>
      </c>
      <c r="L14" s="301"/>
      <c r="M14" s="384"/>
      <c r="N14" s="61"/>
      <c r="O14" s="383" t="s">
        <v>611</v>
      </c>
      <c r="P14" s="301"/>
      <c r="Q14" s="384"/>
      <c r="R14" s="62"/>
      <c r="S14" s="385" t="s">
        <v>612</v>
      </c>
      <c r="T14" s="301"/>
      <c r="U14" s="70"/>
      <c r="V14" s="385" t="s">
        <v>612</v>
      </c>
      <c r="W14" s="384"/>
      <c r="X14" s="321"/>
      <c r="Y14" s="234"/>
      <c r="Z14" s="234"/>
      <c r="AA14" s="234"/>
      <c r="AB14" s="234"/>
      <c r="AC14" s="234"/>
      <c r="AD14" s="234"/>
      <c r="AE14" s="258"/>
      <c r="AF14" s="61"/>
      <c r="AG14" s="383" t="s">
        <v>613</v>
      </c>
      <c r="AH14" s="301"/>
      <c r="AI14" s="384"/>
      <c r="AJ14" s="191"/>
      <c r="AK14" s="383" t="s">
        <v>614</v>
      </c>
      <c r="AL14" s="301"/>
      <c r="AM14" s="384"/>
      <c r="AN14" s="61"/>
      <c r="AO14" s="383" t="s">
        <v>620</v>
      </c>
      <c r="AP14" s="301"/>
      <c r="AQ14" s="384"/>
      <c r="AR14" s="192"/>
      <c r="AS14" s="192"/>
      <c r="AT14" s="193"/>
      <c r="AU14" s="17"/>
      <c r="AV14" s="17"/>
      <c r="AW14" s="17"/>
      <c r="AX14" s="17"/>
      <c r="AY14" s="17"/>
      <c r="AZ14" s="17"/>
      <c r="BA14" s="17"/>
      <c r="BB14" s="17"/>
      <c r="BC14" s="17"/>
      <c r="BD14" s="17"/>
      <c r="BE14" s="17"/>
      <c r="BF14" s="17"/>
      <c r="BG14" s="17"/>
      <c r="BH14" s="17"/>
      <c r="BI14" s="17"/>
      <c r="BJ14" s="17"/>
    </row>
    <row r="15" spans="1:62" ht="15" customHeight="1">
      <c r="A15" s="310"/>
      <c r="B15" s="312"/>
      <c r="C15" s="262"/>
      <c r="D15" s="262"/>
      <c r="E15" s="296"/>
      <c r="F15" s="194"/>
      <c r="G15" s="379" t="s">
        <v>612</v>
      </c>
      <c r="H15" s="303"/>
      <c r="I15" s="304"/>
      <c r="J15" s="195"/>
      <c r="K15" s="379" t="s">
        <v>612</v>
      </c>
      <c r="L15" s="303"/>
      <c r="M15" s="304"/>
      <c r="N15" s="194"/>
      <c r="O15" s="379" t="s">
        <v>612</v>
      </c>
      <c r="P15" s="303"/>
      <c r="Q15" s="304"/>
      <c r="R15" s="388"/>
      <c r="S15" s="303"/>
      <c r="T15" s="303"/>
      <c r="U15" s="389"/>
      <c r="V15" s="303"/>
      <c r="W15" s="304"/>
      <c r="X15" s="312"/>
      <c r="Y15" s="262"/>
      <c r="Z15" s="262"/>
      <c r="AA15" s="262"/>
      <c r="AB15" s="262"/>
      <c r="AC15" s="262"/>
      <c r="AD15" s="262"/>
      <c r="AE15" s="296"/>
      <c r="AF15" s="61"/>
      <c r="AG15" s="387" t="s">
        <v>616</v>
      </c>
      <c r="AH15" s="303"/>
      <c r="AI15" s="304"/>
      <c r="AJ15" s="191"/>
      <c r="AK15" s="379" t="s">
        <v>617</v>
      </c>
      <c r="AL15" s="303"/>
      <c r="AM15" s="304"/>
      <c r="AN15" s="61"/>
      <c r="AO15" s="386"/>
      <c r="AP15" s="303"/>
      <c r="AQ15" s="304"/>
      <c r="AR15" s="192"/>
      <c r="AS15" s="192"/>
      <c r="AT15" s="193"/>
      <c r="AU15" s="17"/>
      <c r="AV15" s="17"/>
      <c r="AW15" s="17"/>
      <c r="AX15" s="17"/>
      <c r="AY15" s="17"/>
      <c r="AZ15" s="17"/>
      <c r="BA15" s="17"/>
      <c r="BB15" s="17"/>
      <c r="BC15" s="17"/>
      <c r="BD15" s="17"/>
      <c r="BE15" s="17"/>
      <c r="BF15" s="17"/>
      <c r="BG15" s="17"/>
      <c r="BH15" s="17"/>
      <c r="BI15" s="17"/>
      <c r="BJ15" s="17"/>
    </row>
    <row r="16" spans="1:62" ht="15" customHeight="1">
      <c r="A16" s="380">
        <v>5</v>
      </c>
      <c r="B16" s="381"/>
      <c r="C16" s="255"/>
      <c r="D16" s="255"/>
      <c r="E16" s="257"/>
      <c r="F16" s="61"/>
      <c r="G16" s="382" t="s">
        <v>606</v>
      </c>
      <c r="H16" s="236"/>
      <c r="I16" s="292"/>
      <c r="J16" s="191"/>
      <c r="K16" s="382" t="s">
        <v>606</v>
      </c>
      <c r="L16" s="236"/>
      <c r="M16" s="292"/>
      <c r="N16" s="61"/>
      <c r="O16" s="382" t="s">
        <v>606</v>
      </c>
      <c r="P16" s="236"/>
      <c r="Q16" s="292"/>
      <c r="R16" s="62"/>
      <c r="S16" s="390" t="s">
        <v>607</v>
      </c>
      <c r="T16" s="236"/>
      <c r="U16" s="70"/>
      <c r="V16" s="390" t="s">
        <v>607</v>
      </c>
      <c r="W16" s="292"/>
      <c r="X16" s="391"/>
      <c r="Y16" s="255"/>
      <c r="Z16" s="255"/>
      <c r="AA16" s="255"/>
      <c r="AB16" s="255"/>
      <c r="AC16" s="255"/>
      <c r="AD16" s="255"/>
      <c r="AE16" s="257"/>
      <c r="AF16" s="61"/>
      <c r="AG16" s="382" t="s">
        <v>608</v>
      </c>
      <c r="AH16" s="236"/>
      <c r="AI16" s="292"/>
      <c r="AJ16" s="191"/>
      <c r="AK16" s="382" t="s">
        <v>609</v>
      </c>
      <c r="AL16" s="236"/>
      <c r="AM16" s="292"/>
      <c r="AN16" s="61"/>
      <c r="AO16" s="382" t="s">
        <v>610</v>
      </c>
      <c r="AP16" s="236"/>
      <c r="AQ16" s="292"/>
      <c r="AR16" s="192"/>
      <c r="AS16" s="192"/>
      <c r="AT16" s="193"/>
      <c r="AU16" s="17"/>
      <c r="AV16" s="17"/>
      <c r="AW16" s="17"/>
      <c r="AX16" s="17"/>
      <c r="AY16" s="17"/>
      <c r="AZ16" s="17"/>
      <c r="BA16" s="17"/>
      <c r="BB16" s="17"/>
      <c r="BC16" s="17"/>
      <c r="BD16" s="17"/>
      <c r="BE16" s="17"/>
      <c r="BF16" s="17"/>
      <c r="BG16" s="17"/>
      <c r="BH16" s="17"/>
      <c r="BI16" s="17"/>
      <c r="BJ16" s="17"/>
    </row>
    <row r="17" spans="1:46" ht="15" customHeight="1">
      <c r="A17" s="323"/>
      <c r="B17" s="321"/>
      <c r="C17" s="234"/>
      <c r="D17" s="234"/>
      <c r="E17" s="258"/>
      <c r="F17" s="61"/>
      <c r="G17" s="383" t="s">
        <v>611</v>
      </c>
      <c r="H17" s="301"/>
      <c r="I17" s="384"/>
      <c r="J17" s="191"/>
      <c r="K17" s="383" t="s">
        <v>611</v>
      </c>
      <c r="L17" s="301"/>
      <c r="M17" s="384"/>
      <c r="N17" s="61"/>
      <c r="O17" s="383" t="s">
        <v>611</v>
      </c>
      <c r="P17" s="301"/>
      <c r="Q17" s="384"/>
      <c r="R17" s="62"/>
      <c r="S17" s="385" t="s">
        <v>612</v>
      </c>
      <c r="T17" s="301"/>
      <c r="U17" s="70"/>
      <c r="V17" s="385" t="s">
        <v>612</v>
      </c>
      <c r="W17" s="384"/>
      <c r="X17" s="321"/>
      <c r="Y17" s="234"/>
      <c r="Z17" s="234"/>
      <c r="AA17" s="234"/>
      <c r="AB17" s="234"/>
      <c r="AC17" s="234"/>
      <c r="AD17" s="234"/>
      <c r="AE17" s="258"/>
      <c r="AF17" s="61"/>
      <c r="AG17" s="383" t="s">
        <v>613</v>
      </c>
      <c r="AH17" s="301"/>
      <c r="AI17" s="384"/>
      <c r="AJ17" s="191"/>
      <c r="AK17" s="383" t="s">
        <v>614</v>
      </c>
      <c r="AL17" s="301"/>
      <c r="AM17" s="384"/>
      <c r="AN17" s="61"/>
      <c r="AO17" s="383" t="s">
        <v>621</v>
      </c>
      <c r="AP17" s="301"/>
      <c r="AQ17" s="384"/>
      <c r="AR17" s="192"/>
      <c r="AS17" s="192"/>
      <c r="AT17" s="193"/>
    </row>
    <row r="18" spans="1:46" ht="15" customHeight="1">
      <c r="A18" s="310"/>
      <c r="B18" s="312"/>
      <c r="C18" s="262"/>
      <c r="D18" s="262"/>
      <c r="E18" s="296"/>
      <c r="F18" s="194"/>
      <c r="G18" s="379" t="s">
        <v>612</v>
      </c>
      <c r="H18" s="303"/>
      <c r="I18" s="304"/>
      <c r="J18" s="195"/>
      <c r="K18" s="379" t="s">
        <v>612</v>
      </c>
      <c r="L18" s="303"/>
      <c r="M18" s="304"/>
      <c r="N18" s="194"/>
      <c r="O18" s="379" t="s">
        <v>612</v>
      </c>
      <c r="P18" s="303"/>
      <c r="Q18" s="304"/>
      <c r="R18" s="388"/>
      <c r="S18" s="303"/>
      <c r="T18" s="303"/>
      <c r="U18" s="389"/>
      <c r="V18" s="303"/>
      <c r="W18" s="304"/>
      <c r="X18" s="312"/>
      <c r="Y18" s="262"/>
      <c r="Z18" s="262"/>
      <c r="AA18" s="262"/>
      <c r="AB18" s="262"/>
      <c r="AC18" s="262"/>
      <c r="AD18" s="262"/>
      <c r="AE18" s="296"/>
      <c r="AF18" s="61"/>
      <c r="AG18" s="387" t="s">
        <v>616</v>
      </c>
      <c r="AH18" s="303"/>
      <c r="AI18" s="304"/>
      <c r="AJ18" s="191"/>
      <c r="AK18" s="379" t="s">
        <v>617</v>
      </c>
      <c r="AL18" s="303"/>
      <c r="AM18" s="304"/>
      <c r="AN18" s="61"/>
      <c r="AO18" s="386"/>
      <c r="AP18" s="303"/>
      <c r="AQ18" s="304"/>
      <c r="AR18" s="192"/>
      <c r="AS18" s="192"/>
      <c r="AT18" s="193"/>
    </row>
    <row r="19" spans="1:46" ht="15" customHeight="1">
      <c r="A19" s="380">
        <v>6</v>
      </c>
      <c r="B19" s="381"/>
      <c r="C19" s="255"/>
      <c r="D19" s="255"/>
      <c r="E19" s="257"/>
      <c r="F19" s="61"/>
      <c r="G19" s="382" t="s">
        <v>606</v>
      </c>
      <c r="H19" s="236"/>
      <c r="I19" s="292"/>
      <c r="J19" s="191"/>
      <c r="K19" s="382" t="s">
        <v>606</v>
      </c>
      <c r="L19" s="236"/>
      <c r="M19" s="292"/>
      <c r="N19" s="61"/>
      <c r="O19" s="382" t="s">
        <v>606</v>
      </c>
      <c r="P19" s="236"/>
      <c r="Q19" s="292"/>
      <c r="R19" s="62"/>
      <c r="S19" s="390" t="s">
        <v>607</v>
      </c>
      <c r="T19" s="236"/>
      <c r="U19" s="70"/>
      <c r="V19" s="390" t="s">
        <v>607</v>
      </c>
      <c r="W19" s="292"/>
      <c r="X19" s="391"/>
      <c r="Y19" s="255"/>
      <c r="Z19" s="255"/>
      <c r="AA19" s="255"/>
      <c r="AB19" s="255"/>
      <c r="AC19" s="255"/>
      <c r="AD19" s="255"/>
      <c r="AE19" s="257"/>
      <c r="AF19" s="61"/>
      <c r="AG19" s="382" t="s">
        <v>608</v>
      </c>
      <c r="AH19" s="236"/>
      <c r="AI19" s="292"/>
      <c r="AJ19" s="191"/>
      <c r="AK19" s="382" t="s">
        <v>609</v>
      </c>
      <c r="AL19" s="236"/>
      <c r="AM19" s="292"/>
      <c r="AN19" s="61"/>
      <c r="AO19" s="382" t="s">
        <v>610</v>
      </c>
      <c r="AP19" s="236"/>
      <c r="AQ19" s="292"/>
      <c r="AR19" s="192"/>
      <c r="AS19" s="192"/>
      <c r="AT19" s="193"/>
    </row>
    <row r="20" spans="1:46" ht="15" customHeight="1">
      <c r="A20" s="323"/>
      <c r="B20" s="321"/>
      <c r="C20" s="234"/>
      <c r="D20" s="234"/>
      <c r="E20" s="258"/>
      <c r="F20" s="61"/>
      <c r="G20" s="383" t="s">
        <v>611</v>
      </c>
      <c r="H20" s="301"/>
      <c r="I20" s="384"/>
      <c r="J20" s="191"/>
      <c r="K20" s="383" t="s">
        <v>611</v>
      </c>
      <c r="L20" s="301"/>
      <c r="M20" s="384"/>
      <c r="N20" s="61"/>
      <c r="O20" s="383" t="s">
        <v>611</v>
      </c>
      <c r="P20" s="301"/>
      <c r="Q20" s="384"/>
      <c r="R20" s="62"/>
      <c r="S20" s="385" t="s">
        <v>612</v>
      </c>
      <c r="T20" s="301"/>
      <c r="U20" s="70"/>
      <c r="V20" s="385" t="s">
        <v>612</v>
      </c>
      <c r="W20" s="384"/>
      <c r="X20" s="321"/>
      <c r="Y20" s="234"/>
      <c r="Z20" s="234"/>
      <c r="AA20" s="234"/>
      <c r="AB20" s="234"/>
      <c r="AC20" s="234"/>
      <c r="AD20" s="234"/>
      <c r="AE20" s="258"/>
      <c r="AF20" s="61"/>
      <c r="AG20" s="383" t="s">
        <v>613</v>
      </c>
      <c r="AH20" s="301"/>
      <c r="AI20" s="384"/>
      <c r="AJ20" s="191"/>
      <c r="AK20" s="383" t="s">
        <v>614</v>
      </c>
      <c r="AL20" s="301"/>
      <c r="AM20" s="384"/>
      <c r="AN20" s="61"/>
      <c r="AO20" s="383" t="s">
        <v>622</v>
      </c>
      <c r="AP20" s="301"/>
      <c r="AQ20" s="384"/>
      <c r="AR20" s="192"/>
      <c r="AS20" s="192"/>
      <c r="AT20" s="193"/>
    </row>
    <row r="21" spans="1:46" ht="15" customHeight="1">
      <c r="A21" s="310"/>
      <c r="B21" s="312"/>
      <c r="C21" s="262"/>
      <c r="D21" s="262"/>
      <c r="E21" s="296"/>
      <c r="F21" s="194"/>
      <c r="G21" s="379" t="s">
        <v>612</v>
      </c>
      <c r="H21" s="303"/>
      <c r="I21" s="304"/>
      <c r="J21" s="195"/>
      <c r="K21" s="379" t="s">
        <v>612</v>
      </c>
      <c r="L21" s="303"/>
      <c r="M21" s="304"/>
      <c r="N21" s="194"/>
      <c r="O21" s="379" t="s">
        <v>612</v>
      </c>
      <c r="P21" s="303"/>
      <c r="Q21" s="304"/>
      <c r="R21" s="388"/>
      <c r="S21" s="303"/>
      <c r="T21" s="303"/>
      <c r="U21" s="389"/>
      <c r="V21" s="303"/>
      <c r="W21" s="304"/>
      <c r="X21" s="312"/>
      <c r="Y21" s="262"/>
      <c r="Z21" s="262"/>
      <c r="AA21" s="262"/>
      <c r="AB21" s="262"/>
      <c r="AC21" s="262"/>
      <c r="AD21" s="262"/>
      <c r="AE21" s="296"/>
      <c r="AF21" s="61"/>
      <c r="AG21" s="387" t="s">
        <v>616</v>
      </c>
      <c r="AH21" s="303"/>
      <c r="AI21" s="304"/>
      <c r="AJ21" s="191"/>
      <c r="AK21" s="379" t="s">
        <v>617</v>
      </c>
      <c r="AL21" s="303"/>
      <c r="AM21" s="304"/>
      <c r="AN21" s="61"/>
      <c r="AO21" s="386"/>
      <c r="AP21" s="303"/>
      <c r="AQ21" s="304"/>
      <c r="AR21" s="192"/>
      <c r="AS21" s="192"/>
      <c r="AT21" s="193"/>
    </row>
    <row r="22" spans="1:46" ht="15" customHeight="1">
      <c r="A22" s="380">
        <v>7</v>
      </c>
      <c r="B22" s="381"/>
      <c r="C22" s="255"/>
      <c r="D22" s="255"/>
      <c r="E22" s="257"/>
      <c r="F22" s="61"/>
      <c r="G22" s="382" t="s">
        <v>606</v>
      </c>
      <c r="H22" s="236"/>
      <c r="I22" s="292"/>
      <c r="J22" s="191"/>
      <c r="K22" s="382" t="s">
        <v>606</v>
      </c>
      <c r="L22" s="236"/>
      <c r="M22" s="292"/>
      <c r="N22" s="61"/>
      <c r="O22" s="382" t="s">
        <v>606</v>
      </c>
      <c r="P22" s="236"/>
      <c r="Q22" s="292"/>
      <c r="R22" s="62"/>
      <c r="S22" s="390" t="s">
        <v>607</v>
      </c>
      <c r="T22" s="236"/>
      <c r="U22" s="70"/>
      <c r="V22" s="390" t="s">
        <v>607</v>
      </c>
      <c r="W22" s="292"/>
      <c r="X22" s="391"/>
      <c r="Y22" s="255"/>
      <c r="Z22" s="255"/>
      <c r="AA22" s="255"/>
      <c r="AB22" s="255"/>
      <c r="AC22" s="255"/>
      <c r="AD22" s="255"/>
      <c r="AE22" s="257"/>
      <c r="AF22" s="61"/>
      <c r="AG22" s="382" t="s">
        <v>608</v>
      </c>
      <c r="AH22" s="236"/>
      <c r="AI22" s="292"/>
      <c r="AJ22" s="191"/>
      <c r="AK22" s="382" t="s">
        <v>609</v>
      </c>
      <c r="AL22" s="236"/>
      <c r="AM22" s="292"/>
      <c r="AN22" s="61"/>
      <c r="AO22" s="382" t="s">
        <v>610</v>
      </c>
      <c r="AP22" s="236"/>
      <c r="AQ22" s="292"/>
      <c r="AR22" s="192"/>
      <c r="AS22" s="192"/>
      <c r="AT22" s="193"/>
    </row>
    <row r="23" spans="1:46" ht="15" customHeight="1">
      <c r="A23" s="323"/>
      <c r="B23" s="321"/>
      <c r="C23" s="234"/>
      <c r="D23" s="234"/>
      <c r="E23" s="258"/>
      <c r="F23" s="61"/>
      <c r="G23" s="383" t="s">
        <v>611</v>
      </c>
      <c r="H23" s="301"/>
      <c r="I23" s="384"/>
      <c r="J23" s="191"/>
      <c r="K23" s="383" t="s">
        <v>611</v>
      </c>
      <c r="L23" s="301"/>
      <c r="M23" s="384"/>
      <c r="N23" s="61"/>
      <c r="O23" s="383" t="s">
        <v>611</v>
      </c>
      <c r="P23" s="301"/>
      <c r="Q23" s="384"/>
      <c r="R23" s="62"/>
      <c r="S23" s="385" t="s">
        <v>612</v>
      </c>
      <c r="T23" s="301"/>
      <c r="U23" s="70"/>
      <c r="V23" s="385" t="s">
        <v>612</v>
      </c>
      <c r="W23" s="384"/>
      <c r="X23" s="321"/>
      <c r="Y23" s="234"/>
      <c r="Z23" s="234"/>
      <c r="AA23" s="234"/>
      <c r="AB23" s="234"/>
      <c r="AC23" s="234"/>
      <c r="AD23" s="234"/>
      <c r="AE23" s="258"/>
      <c r="AF23" s="61"/>
      <c r="AG23" s="383" t="s">
        <v>613</v>
      </c>
      <c r="AH23" s="301"/>
      <c r="AI23" s="384"/>
      <c r="AJ23" s="191"/>
      <c r="AK23" s="383" t="s">
        <v>614</v>
      </c>
      <c r="AL23" s="301"/>
      <c r="AM23" s="384"/>
      <c r="AN23" s="61"/>
      <c r="AO23" s="383" t="s">
        <v>623</v>
      </c>
      <c r="AP23" s="301"/>
      <c r="AQ23" s="384"/>
      <c r="AR23" s="192"/>
      <c r="AS23" s="192"/>
      <c r="AT23" s="193"/>
    </row>
    <row r="24" spans="1:46" ht="15" customHeight="1">
      <c r="A24" s="310"/>
      <c r="B24" s="312"/>
      <c r="C24" s="262"/>
      <c r="D24" s="262"/>
      <c r="E24" s="296"/>
      <c r="F24" s="194"/>
      <c r="G24" s="379" t="s">
        <v>612</v>
      </c>
      <c r="H24" s="303"/>
      <c r="I24" s="304"/>
      <c r="J24" s="195"/>
      <c r="K24" s="379" t="s">
        <v>612</v>
      </c>
      <c r="L24" s="303"/>
      <c r="M24" s="304"/>
      <c r="N24" s="194"/>
      <c r="O24" s="379" t="s">
        <v>612</v>
      </c>
      <c r="P24" s="303"/>
      <c r="Q24" s="304"/>
      <c r="R24" s="388"/>
      <c r="S24" s="303"/>
      <c r="T24" s="303"/>
      <c r="U24" s="389"/>
      <c r="V24" s="303"/>
      <c r="W24" s="304"/>
      <c r="X24" s="312"/>
      <c r="Y24" s="262"/>
      <c r="Z24" s="262"/>
      <c r="AA24" s="262"/>
      <c r="AB24" s="262"/>
      <c r="AC24" s="262"/>
      <c r="AD24" s="262"/>
      <c r="AE24" s="296"/>
      <c r="AF24" s="61"/>
      <c r="AG24" s="387" t="s">
        <v>616</v>
      </c>
      <c r="AH24" s="303"/>
      <c r="AI24" s="304"/>
      <c r="AJ24" s="191"/>
      <c r="AK24" s="379" t="s">
        <v>617</v>
      </c>
      <c r="AL24" s="303"/>
      <c r="AM24" s="304"/>
      <c r="AN24" s="61"/>
      <c r="AO24" s="386"/>
      <c r="AP24" s="303"/>
      <c r="AQ24" s="304"/>
      <c r="AR24" s="192"/>
      <c r="AS24" s="192"/>
      <c r="AT24" s="193"/>
    </row>
    <row r="25" spans="1:46" ht="15" customHeight="1">
      <c r="A25" s="380">
        <v>8</v>
      </c>
      <c r="B25" s="381"/>
      <c r="C25" s="255"/>
      <c r="D25" s="255"/>
      <c r="E25" s="257"/>
      <c r="F25" s="61"/>
      <c r="G25" s="382" t="s">
        <v>606</v>
      </c>
      <c r="H25" s="236"/>
      <c r="I25" s="292"/>
      <c r="J25" s="191"/>
      <c r="K25" s="382" t="s">
        <v>606</v>
      </c>
      <c r="L25" s="236"/>
      <c r="M25" s="292"/>
      <c r="N25" s="61"/>
      <c r="O25" s="382" t="s">
        <v>606</v>
      </c>
      <c r="P25" s="236"/>
      <c r="Q25" s="292"/>
      <c r="R25" s="62"/>
      <c r="S25" s="390" t="s">
        <v>607</v>
      </c>
      <c r="T25" s="236"/>
      <c r="U25" s="70"/>
      <c r="V25" s="390" t="s">
        <v>607</v>
      </c>
      <c r="W25" s="292"/>
      <c r="X25" s="391"/>
      <c r="Y25" s="255"/>
      <c r="Z25" s="255"/>
      <c r="AA25" s="255"/>
      <c r="AB25" s="255"/>
      <c r="AC25" s="255"/>
      <c r="AD25" s="255"/>
      <c r="AE25" s="257"/>
      <c r="AF25" s="61"/>
      <c r="AG25" s="382" t="s">
        <v>608</v>
      </c>
      <c r="AH25" s="236"/>
      <c r="AI25" s="292"/>
      <c r="AJ25" s="191"/>
      <c r="AK25" s="382" t="s">
        <v>609</v>
      </c>
      <c r="AL25" s="236"/>
      <c r="AM25" s="292"/>
      <c r="AN25" s="61"/>
      <c r="AO25" s="382" t="s">
        <v>610</v>
      </c>
      <c r="AP25" s="236"/>
      <c r="AQ25" s="292"/>
      <c r="AR25" s="192"/>
      <c r="AS25" s="192"/>
      <c r="AT25" s="193"/>
    </row>
    <row r="26" spans="1:46" ht="15" customHeight="1">
      <c r="A26" s="323"/>
      <c r="B26" s="321"/>
      <c r="C26" s="234"/>
      <c r="D26" s="234"/>
      <c r="E26" s="258"/>
      <c r="F26" s="61"/>
      <c r="G26" s="383" t="s">
        <v>611</v>
      </c>
      <c r="H26" s="301"/>
      <c r="I26" s="384"/>
      <c r="J26" s="191"/>
      <c r="K26" s="383" t="s">
        <v>611</v>
      </c>
      <c r="L26" s="301"/>
      <c r="M26" s="384"/>
      <c r="N26" s="61"/>
      <c r="O26" s="383" t="s">
        <v>611</v>
      </c>
      <c r="P26" s="301"/>
      <c r="Q26" s="384"/>
      <c r="R26" s="62"/>
      <c r="S26" s="385" t="s">
        <v>612</v>
      </c>
      <c r="T26" s="301"/>
      <c r="U26" s="70"/>
      <c r="V26" s="385" t="s">
        <v>612</v>
      </c>
      <c r="W26" s="384"/>
      <c r="X26" s="321"/>
      <c r="Y26" s="234"/>
      <c r="Z26" s="234"/>
      <c r="AA26" s="234"/>
      <c r="AB26" s="234"/>
      <c r="AC26" s="234"/>
      <c r="AD26" s="234"/>
      <c r="AE26" s="258"/>
      <c r="AF26" s="61"/>
      <c r="AG26" s="383" t="s">
        <v>613</v>
      </c>
      <c r="AH26" s="301"/>
      <c r="AI26" s="384"/>
      <c r="AJ26" s="191"/>
      <c r="AK26" s="383" t="s">
        <v>614</v>
      </c>
      <c r="AL26" s="301"/>
      <c r="AM26" s="384"/>
      <c r="AN26" s="61"/>
      <c r="AO26" s="383" t="s">
        <v>624</v>
      </c>
      <c r="AP26" s="301"/>
      <c r="AQ26" s="384"/>
      <c r="AR26" s="192"/>
      <c r="AS26" s="192"/>
      <c r="AT26" s="193"/>
    </row>
    <row r="27" spans="1:46" ht="15" customHeight="1">
      <c r="A27" s="310"/>
      <c r="B27" s="312"/>
      <c r="C27" s="262"/>
      <c r="D27" s="262"/>
      <c r="E27" s="296"/>
      <c r="F27" s="194"/>
      <c r="G27" s="379" t="s">
        <v>612</v>
      </c>
      <c r="H27" s="303"/>
      <c r="I27" s="304"/>
      <c r="J27" s="195"/>
      <c r="K27" s="379" t="s">
        <v>612</v>
      </c>
      <c r="L27" s="303"/>
      <c r="M27" s="304"/>
      <c r="N27" s="194"/>
      <c r="O27" s="379" t="s">
        <v>612</v>
      </c>
      <c r="P27" s="303"/>
      <c r="Q27" s="304"/>
      <c r="R27" s="388"/>
      <c r="S27" s="303"/>
      <c r="T27" s="303"/>
      <c r="U27" s="389"/>
      <c r="V27" s="303"/>
      <c r="W27" s="304"/>
      <c r="X27" s="312"/>
      <c r="Y27" s="262"/>
      <c r="Z27" s="262"/>
      <c r="AA27" s="262"/>
      <c r="AB27" s="262"/>
      <c r="AC27" s="262"/>
      <c r="AD27" s="262"/>
      <c r="AE27" s="296"/>
      <c r="AF27" s="61"/>
      <c r="AG27" s="387" t="s">
        <v>616</v>
      </c>
      <c r="AH27" s="303"/>
      <c r="AI27" s="304"/>
      <c r="AJ27" s="191"/>
      <c r="AK27" s="379" t="s">
        <v>617</v>
      </c>
      <c r="AL27" s="303"/>
      <c r="AM27" s="304"/>
      <c r="AN27" s="61"/>
      <c r="AO27" s="386"/>
      <c r="AP27" s="303"/>
      <c r="AQ27" s="304"/>
      <c r="AR27" s="192"/>
      <c r="AS27" s="192"/>
      <c r="AT27" s="193"/>
    </row>
    <row r="28" spans="1:46" ht="7.5" customHeight="1">
      <c r="A28" s="196"/>
      <c r="B28" s="197"/>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7"/>
      <c r="AS28" s="197"/>
      <c r="AT28" s="199"/>
    </row>
    <row r="29" spans="1:46" ht="26.25" customHeight="1">
      <c r="A29" s="392" t="s">
        <v>625</v>
      </c>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c r="Z29" s="239"/>
      <c r="AA29" s="239"/>
      <c r="AB29" s="239"/>
      <c r="AC29" s="239"/>
      <c r="AD29" s="239"/>
      <c r="AE29" s="239"/>
      <c r="AF29" s="239"/>
      <c r="AG29" s="239"/>
      <c r="AH29" s="239"/>
      <c r="AI29" s="239"/>
      <c r="AJ29" s="239"/>
      <c r="AK29" s="239"/>
      <c r="AL29" s="239"/>
      <c r="AM29" s="239"/>
      <c r="AN29" s="239"/>
      <c r="AO29" s="239"/>
      <c r="AP29" s="239"/>
      <c r="AQ29" s="239"/>
      <c r="AR29" s="239"/>
      <c r="AS29" s="239"/>
      <c r="AT29" s="243"/>
    </row>
    <row r="30" spans="1:46" ht="23.25" customHeight="1">
      <c r="A30" s="174" t="s">
        <v>36</v>
      </c>
      <c r="B30" s="376" t="s">
        <v>37</v>
      </c>
      <c r="C30" s="239"/>
      <c r="D30" s="239"/>
      <c r="E30" s="239"/>
      <c r="F30" s="239"/>
      <c r="G30" s="239"/>
      <c r="H30" s="239"/>
      <c r="I30" s="239"/>
      <c r="J30" s="239"/>
      <c r="K30" s="239"/>
      <c r="L30" s="239"/>
      <c r="M30" s="239"/>
      <c r="N30" s="239"/>
      <c r="O30" s="239"/>
      <c r="P30" s="239"/>
      <c r="Q30" s="239"/>
      <c r="R30" s="239"/>
      <c r="S30" s="239"/>
      <c r="T30" s="239"/>
      <c r="U30" s="239"/>
      <c r="V30" s="239"/>
      <c r="W30" s="239"/>
      <c r="X30" s="239"/>
      <c r="Y30" s="239"/>
      <c r="Z30" s="239"/>
      <c r="AA30" s="243"/>
      <c r="AB30" s="376" t="s">
        <v>626</v>
      </c>
      <c r="AC30" s="239"/>
      <c r="AD30" s="239"/>
      <c r="AE30" s="239"/>
      <c r="AF30" s="239"/>
      <c r="AG30" s="243"/>
      <c r="AH30" s="376" t="s">
        <v>627</v>
      </c>
      <c r="AI30" s="239"/>
      <c r="AJ30" s="239"/>
      <c r="AK30" s="239"/>
      <c r="AL30" s="243"/>
      <c r="AM30" s="376" t="s">
        <v>40</v>
      </c>
      <c r="AN30" s="239"/>
      <c r="AO30" s="239"/>
      <c r="AP30" s="239"/>
      <c r="AQ30" s="243"/>
      <c r="AR30" s="200"/>
      <c r="AS30" s="200"/>
      <c r="AT30" s="200"/>
    </row>
    <row r="31" spans="1:46" ht="22.5" customHeight="1">
      <c r="A31" s="23">
        <v>1</v>
      </c>
      <c r="B31" s="404" t="s">
        <v>161</v>
      </c>
      <c r="C31" s="239"/>
      <c r="D31" s="239"/>
      <c r="E31" s="239"/>
      <c r="F31" s="239"/>
      <c r="G31" s="239"/>
      <c r="H31" s="239"/>
      <c r="I31" s="239"/>
      <c r="J31" s="239"/>
      <c r="K31" s="239"/>
      <c r="L31" s="239"/>
      <c r="M31" s="239"/>
      <c r="N31" s="239"/>
      <c r="O31" s="239"/>
      <c r="P31" s="239"/>
      <c r="Q31" s="239"/>
      <c r="R31" s="239"/>
      <c r="S31" s="239"/>
      <c r="T31" s="239"/>
      <c r="U31" s="239"/>
      <c r="V31" s="239"/>
      <c r="W31" s="239"/>
      <c r="X31" s="239"/>
      <c r="Y31" s="239"/>
      <c r="Z31" s="239"/>
      <c r="AA31" s="243"/>
      <c r="AB31" s="242" t="s">
        <v>628</v>
      </c>
      <c r="AC31" s="239"/>
      <c r="AD31" s="239"/>
      <c r="AE31" s="239"/>
      <c r="AF31" s="239"/>
      <c r="AG31" s="243"/>
      <c r="AH31" s="405"/>
      <c r="AI31" s="239"/>
      <c r="AJ31" s="239"/>
      <c r="AK31" s="239"/>
      <c r="AL31" s="243"/>
      <c r="AM31" s="406"/>
      <c r="AN31" s="239"/>
      <c r="AO31" s="239"/>
      <c r="AP31" s="239"/>
      <c r="AQ31" s="243"/>
      <c r="AR31" s="200"/>
      <c r="AS31" s="200"/>
      <c r="AT31" s="200"/>
    </row>
    <row r="32" spans="1:46" ht="22.5" customHeight="1">
      <c r="A32" s="23">
        <v>2</v>
      </c>
      <c r="B32" s="404" t="s">
        <v>629</v>
      </c>
      <c r="C32" s="239"/>
      <c r="D32" s="239"/>
      <c r="E32" s="239"/>
      <c r="F32" s="239"/>
      <c r="G32" s="239"/>
      <c r="H32" s="239"/>
      <c r="I32" s="239"/>
      <c r="J32" s="239"/>
      <c r="K32" s="239"/>
      <c r="L32" s="239"/>
      <c r="M32" s="239"/>
      <c r="N32" s="239"/>
      <c r="O32" s="239"/>
      <c r="P32" s="239"/>
      <c r="Q32" s="239"/>
      <c r="R32" s="239"/>
      <c r="S32" s="239"/>
      <c r="T32" s="239"/>
      <c r="U32" s="239"/>
      <c r="V32" s="239"/>
      <c r="W32" s="239"/>
      <c r="X32" s="239"/>
      <c r="Y32" s="239"/>
      <c r="Z32" s="239"/>
      <c r="AA32" s="243"/>
      <c r="AB32" s="242" t="s">
        <v>628</v>
      </c>
      <c r="AC32" s="239"/>
      <c r="AD32" s="239"/>
      <c r="AE32" s="239"/>
      <c r="AF32" s="239"/>
      <c r="AG32" s="243"/>
      <c r="AH32" s="405"/>
      <c r="AI32" s="239"/>
      <c r="AJ32" s="239"/>
      <c r="AK32" s="239"/>
      <c r="AL32" s="243"/>
      <c r="AM32" s="406"/>
      <c r="AN32" s="239"/>
      <c r="AO32" s="239"/>
      <c r="AP32" s="239"/>
      <c r="AQ32" s="243"/>
      <c r="AR32" s="200"/>
      <c r="AS32" s="200"/>
      <c r="AT32" s="200"/>
    </row>
    <row r="33" spans="1:62" ht="22.5" customHeight="1">
      <c r="A33" s="23">
        <v>3</v>
      </c>
      <c r="B33" s="404" t="s">
        <v>165</v>
      </c>
      <c r="C33" s="239"/>
      <c r="D33" s="239"/>
      <c r="E33" s="239"/>
      <c r="F33" s="239"/>
      <c r="G33" s="239"/>
      <c r="H33" s="239"/>
      <c r="I33" s="239"/>
      <c r="J33" s="239"/>
      <c r="K33" s="239"/>
      <c r="L33" s="239"/>
      <c r="M33" s="239"/>
      <c r="N33" s="239"/>
      <c r="O33" s="239"/>
      <c r="P33" s="239"/>
      <c r="Q33" s="239"/>
      <c r="R33" s="239"/>
      <c r="S33" s="239"/>
      <c r="T33" s="239"/>
      <c r="U33" s="239"/>
      <c r="V33" s="239"/>
      <c r="W33" s="239"/>
      <c r="X33" s="239"/>
      <c r="Y33" s="239"/>
      <c r="Z33" s="239"/>
      <c r="AA33" s="243"/>
      <c r="AB33" s="405"/>
      <c r="AC33" s="239"/>
      <c r="AD33" s="239"/>
      <c r="AE33" s="239"/>
      <c r="AF33" s="239"/>
      <c r="AG33" s="243"/>
      <c r="AH33" s="242"/>
      <c r="AI33" s="239"/>
      <c r="AJ33" s="239"/>
      <c r="AK33" s="239"/>
      <c r="AL33" s="243"/>
      <c r="AM33" s="406"/>
      <c r="AN33" s="239"/>
      <c r="AO33" s="239"/>
      <c r="AP33" s="239"/>
      <c r="AQ33" s="243"/>
      <c r="AR33" s="201"/>
      <c r="AS33" s="201"/>
      <c r="AT33" s="201"/>
      <c r="AU33" s="197"/>
      <c r="AV33" s="197"/>
      <c r="AW33" s="197"/>
      <c r="AX33" s="197"/>
      <c r="AY33" s="197"/>
      <c r="AZ33" s="197"/>
      <c r="BA33" s="197"/>
      <c r="BB33" s="197"/>
      <c r="BC33" s="197"/>
      <c r="BD33" s="197"/>
      <c r="BE33" s="197"/>
      <c r="BF33" s="197"/>
      <c r="BG33" s="197"/>
      <c r="BH33" s="197"/>
      <c r="BI33" s="197"/>
      <c r="BJ33" s="197"/>
    </row>
    <row r="34" spans="1:62" ht="15.75" customHeight="1">
      <c r="A34" s="202"/>
      <c r="B34" s="203"/>
      <c r="C34" s="203"/>
      <c r="D34" s="203"/>
      <c r="E34" s="203"/>
      <c r="F34" s="203"/>
      <c r="G34" s="203"/>
      <c r="H34" s="203"/>
      <c r="I34" s="203"/>
      <c r="J34" s="203"/>
      <c r="K34" s="203"/>
      <c r="L34" s="203"/>
      <c r="M34" s="203"/>
      <c r="N34" s="203"/>
      <c r="O34" s="203"/>
      <c r="P34" s="203"/>
      <c r="Q34" s="203"/>
      <c r="R34" s="203"/>
      <c r="S34" s="203"/>
      <c r="T34" s="203"/>
      <c r="U34" s="203"/>
      <c r="V34" s="203"/>
      <c r="W34" s="203"/>
      <c r="X34" s="203"/>
      <c r="Y34" s="203"/>
      <c r="Z34" s="203"/>
      <c r="AA34" s="203"/>
      <c r="AB34" s="204"/>
      <c r="AC34" s="204"/>
      <c r="AD34" s="204"/>
      <c r="AE34" s="204"/>
      <c r="AF34" s="204"/>
      <c r="AG34" s="204"/>
      <c r="AH34" s="204"/>
      <c r="AI34" s="204"/>
      <c r="AJ34" s="204"/>
      <c r="AK34" s="204"/>
      <c r="AL34" s="204"/>
      <c r="AM34" s="205"/>
      <c r="AN34" s="205"/>
      <c r="AO34" s="205"/>
      <c r="AP34" s="205"/>
      <c r="AQ34" s="205"/>
      <c r="AR34" s="206"/>
      <c r="AS34" s="206"/>
      <c r="AT34" s="207"/>
      <c r="AU34" s="197"/>
      <c r="AV34" s="197"/>
      <c r="AW34" s="197"/>
      <c r="AX34" s="197"/>
      <c r="AY34" s="197"/>
      <c r="AZ34" s="197"/>
      <c r="BA34" s="197"/>
      <c r="BB34" s="197"/>
      <c r="BC34" s="197"/>
      <c r="BD34" s="197"/>
      <c r="BE34" s="197"/>
      <c r="BF34" s="197"/>
      <c r="BG34" s="197"/>
      <c r="BH34" s="197"/>
      <c r="BI34" s="197"/>
      <c r="BJ34" s="197"/>
    </row>
    <row r="35" spans="1:62" ht="26.25" customHeight="1">
      <c r="A35" s="392" t="s">
        <v>630</v>
      </c>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c r="Z35" s="239"/>
      <c r="AA35" s="239"/>
      <c r="AB35" s="239"/>
      <c r="AC35" s="239"/>
      <c r="AD35" s="239"/>
      <c r="AE35" s="239"/>
      <c r="AF35" s="239"/>
      <c r="AG35" s="239"/>
      <c r="AH35" s="239"/>
      <c r="AI35" s="239"/>
      <c r="AJ35" s="239"/>
      <c r="AK35" s="239"/>
      <c r="AL35" s="239"/>
      <c r="AM35" s="239"/>
      <c r="AN35" s="239"/>
      <c r="AO35" s="239"/>
      <c r="AP35" s="239"/>
      <c r="AQ35" s="239"/>
      <c r="AR35" s="239"/>
      <c r="AS35" s="239"/>
      <c r="AT35" s="243"/>
      <c r="AU35" s="17"/>
      <c r="AV35" s="17"/>
      <c r="AW35" s="17"/>
      <c r="AX35" s="17"/>
      <c r="AY35" s="17"/>
      <c r="AZ35" s="17"/>
      <c r="BA35" s="17"/>
      <c r="BB35" s="17"/>
      <c r="BC35" s="17"/>
      <c r="BD35" s="17"/>
      <c r="BE35" s="17"/>
      <c r="BF35" s="17"/>
      <c r="BG35" s="17"/>
      <c r="BH35" s="17"/>
      <c r="BI35" s="17"/>
      <c r="BJ35" s="17"/>
    </row>
    <row r="36" spans="1:62" ht="45.75" customHeight="1">
      <c r="A36" s="309" t="s">
        <v>36</v>
      </c>
      <c r="B36" s="408" t="s">
        <v>631</v>
      </c>
      <c r="C36" s="236"/>
      <c r="D36" s="236"/>
      <c r="E36" s="236"/>
      <c r="F36" s="236"/>
      <c r="G36" s="236"/>
      <c r="H36" s="236"/>
      <c r="I36" s="292"/>
      <c r="J36" s="278" t="s">
        <v>595</v>
      </c>
      <c r="K36" s="239"/>
      <c r="L36" s="239"/>
      <c r="M36" s="239"/>
      <c r="N36" s="239"/>
      <c r="O36" s="239"/>
      <c r="P36" s="239"/>
      <c r="Q36" s="239"/>
      <c r="R36" s="239"/>
      <c r="S36" s="239"/>
      <c r="T36" s="239"/>
      <c r="U36" s="239"/>
      <c r="V36" s="239"/>
      <c r="W36" s="239"/>
      <c r="X36" s="243"/>
      <c r="Y36" s="278" t="s">
        <v>632</v>
      </c>
      <c r="Z36" s="239"/>
      <c r="AA36" s="239"/>
      <c r="AB36" s="239"/>
      <c r="AC36" s="239"/>
      <c r="AD36" s="239"/>
      <c r="AE36" s="239"/>
      <c r="AF36" s="239"/>
      <c r="AG36" s="239"/>
      <c r="AH36" s="239"/>
      <c r="AI36" s="239"/>
      <c r="AJ36" s="239"/>
      <c r="AK36" s="243"/>
      <c r="AL36" s="311" t="s">
        <v>633</v>
      </c>
      <c r="AM36" s="255"/>
      <c r="AN36" s="255"/>
      <c r="AO36" s="255"/>
      <c r="AP36" s="255"/>
      <c r="AQ36" s="257"/>
      <c r="AR36" s="208" t="s">
        <v>634</v>
      </c>
      <c r="AS36" s="209"/>
      <c r="AT36" s="209"/>
      <c r="AU36" s="17"/>
      <c r="AV36" s="17"/>
      <c r="AW36" s="17"/>
      <c r="AX36" s="17"/>
      <c r="AY36" s="305"/>
      <c r="AZ36" s="234"/>
      <c r="BA36" s="234"/>
      <c r="BB36" s="234"/>
      <c r="BC36" s="234"/>
      <c r="BD36" s="234"/>
      <c r="BE36" s="234"/>
      <c r="BF36" s="234"/>
      <c r="BG36" s="17"/>
      <c r="BH36" s="17"/>
      <c r="BI36" s="17"/>
      <c r="BJ36" s="17"/>
    </row>
    <row r="37" spans="1:62" ht="102.75" customHeight="1">
      <c r="A37" s="310"/>
      <c r="B37" s="409" t="s">
        <v>635</v>
      </c>
      <c r="C37" s="239"/>
      <c r="D37" s="239"/>
      <c r="E37" s="243"/>
      <c r="F37" s="410" t="s">
        <v>636</v>
      </c>
      <c r="G37" s="239"/>
      <c r="H37" s="239"/>
      <c r="I37" s="243"/>
      <c r="J37" s="409" t="s">
        <v>637</v>
      </c>
      <c r="K37" s="239"/>
      <c r="L37" s="239"/>
      <c r="M37" s="243"/>
      <c r="N37" s="409" t="s">
        <v>638</v>
      </c>
      <c r="O37" s="239"/>
      <c r="P37" s="239"/>
      <c r="Q37" s="243"/>
      <c r="R37" s="409" t="s">
        <v>639</v>
      </c>
      <c r="S37" s="239"/>
      <c r="T37" s="239"/>
      <c r="U37" s="243"/>
      <c r="V37" s="410" t="s">
        <v>172</v>
      </c>
      <c r="W37" s="239"/>
      <c r="X37" s="243"/>
      <c r="Y37" s="410" t="s">
        <v>640</v>
      </c>
      <c r="Z37" s="239"/>
      <c r="AA37" s="239"/>
      <c r="AB37" s="243"/>
      <c r="AC37" s="409" t="s">
        <v>641</v>
      </c>
      <c r="AD37" s="239"/>
      <c r="AE37" s="239"/>
      <c r="AF37" s="239"/>
      <c r="AG37" s="239"/>
      <c r="AH37" s="239"/>
      <c r="AI37" s="239"/>
      <c r="AJ37" s="239"/>
      <c r="AK37" s="243"/>
      <c r="AL37" s="321"/>
      <c r="AM37" s="234"/>
      <c r="AN37" s="234"/>
      <c r="AO37" s="234"/>
      <c r="AP37" s="234"/>
      <c r="AQ37" s="258"/>
      <c r="AR37" s="186"/>
      <c r="AS37" s="187"/>
      <c r="AT37" s="187"/>
      <c r="AU37" s="17"/>
      <c r="AV37" s="17"/>
      <c r="AW37" s="17"/>
      <c r="AX37" s="17"/>
      <c r="AY37" s="305"/>
      <c r="AZ37" s="234"/>
      <c r="BA37" s="234"/>
      <c r="BB37" s="234"/>
      <c r="BC37" s="305"/>
      <c r="BD37" s="234"/>
      <c r="BE37" s="234"/>
      <c r="BF37" s="234"/>
      <c r="BG37" s="305"/>
      <c r="BH37" s="234"/>
      <c r="BI37" s="234"/>
      <c r="BJ37" s="234"/>
    </row>
    <row r="38" spans="1:62" ht="17.25" customHeight="1">
      <c r="A38" s="380">
        <v>1</v>
      </c>
      <c r="B38" s="407"/>
      <c r="C38" s="395"/>
      <c r="D38" s="395"/>
      <c r="E38" s="396"/>
      <c r="F38" s="407"/>
      <c r="G38" s="395"/>
      <c r="H38" s="395"/>
      <c r="I38" s="396"/>
      <c r="J38" s="61"/>
      <c r="K38" s="382" t="s">
        <v>606</v>
      </c>
      <c r="L38" s="236"/>
      <c r="M38" s="292"/>
      <c r="N38" s="191"/>
      <c r="O38" s="382" t="s">
        <v>606</v>
      </c>
      <c r="P38" s="236"/>
      <c r="Q38" s="292"/>
      <c r="R38" s="61"/>
      <c r="S38" s="382" t="s">
        <v>642</v>
      </c>
      <c r="T38" s="236"/>
      <c r="U38" s="292"/>
      <c r="V38" s="210"/>
      <c r="W38" s="382" t="s">
        <v>607</v>
      </c>
      <c r="X38" s="292"/>
      <c r="Y38" s="402"/>
      <c r="Z38" s="255"/>
      <c r="AA38" s="255"/>
      <c r="AB38" s="257"/>
      <c r="AC38" s="391"/>
      <c r="AD38" s="255"/>
      <c r="AE38" s="255"/>
      <c r="AF38" s="255"/>
      <c r="AG38" s="255"/>
      <c r="AH38" s="255"/>
      <c r="AI38" s="255"/>
      <c r="AJ38" s="255"/>
      <c r="AK38" s="255"/>
      <c r="AL38" s="70"/>
      <c r="AM38" s="211"/>
      <c r="AN38" s="390" t="s">
        <v>642</v>
      </c>
      <c r="AO38" s="236"/>
      <c r="AP38" s="236"/>
      <c r="AQ38" s="292"/>
      <c r="AR38" s="191"/>
      <c r="AS38" s="212" t="s">
        <v>643</v>
      </c>
      <c r="AT38" s="211"/>
      <c r="AU38" s="17"/>
      <c r="AV38" s="17"/>
      <c r="AW38" s="17"/>
      <c r="AX38" s="17"/>
      <c r="AY38" s="17"/>
      <c r="AZ38" s="17"/>
      <c r="BA38" s="17"/>
      <c r="BB38" s="17"/>
      <c r="BC38" s="17"/>
      <c r="BD38" s="17"/>
      <c r="BE38" s="17"/>
      <c r="BF38" s="17"/>
      <c r="BG38" s="17"/>
      <c r="BH38" s="17"/>
      <c r="BI38" s="17"/>
      <c r="BJ38" s="17"/>
    </row>
    <row r="39" spans="1:62" ht="17.25" customHeight="1">
      <c r="A39" s="323"/>
      <c r="B39" s="321"/>
      <c r="C39" s="234"/>
      <c r="D39" s="234"/>
      <c r="E39" s="258"/>
      <c r="F39" s="321"/>
      <c r="G39" s="234"/>
      <c r="H39" s="234"/>
      <c r="I39" s="258"/>
      <c r="J39" s="61"/>
      <c r="K39" s="383" t="s">
        <v>611</v>
      </c>
      <c r="L39" s="301"/>
      <c r="M39" s="384"/>
      <c r="N39" s="191"/>
      <c r="O39" s="383" t="s">
        <v>611</v>
      </c>
      <c r="P39" s="301"/>
      <c r="Q39" s="384"/>
      <c r="R39" s="70"/>
      <c r="S39" s="383" t="s">
        <v>614</v>
      </c>
      <c r="T39" s="301"/>
      <c r="U39" s="384"/>
      <c r="V39" s="210"/>
      <c r="W39" s="383" t="s">
        <v>612</v>
      </c>
      <c r="X39" s="384"/>
      <c r="Y39" s="321"/>
      <c r="Z39" s="234"/>
      <c r="AA39" s="234"/>
      <c r="AB39" s="258"/>
      <c r="AC39" s="321"/>
      <c r="AD39" s="234"/>
      <c r="AE39" s="234"/>
      <c r="AF39" s="234"/>
      <c r="AG39" s="234"/>
      <c r="AH39" s="234"/>
      <c r="AI39" s="234"/>
      <c r="AJ39" s="234"/>
      <c r="AK39" s="234"/>
      <c r="AL39" s="70"/>
      <c r="AM39" s="213"/>
      <c r="AN39" s="233" t="s">
        <v>614</v>
      </c>
      <c r="AO39" s="234"/>
      <c r="AP39" s="234"/>
      <c r="AQ39" s="258"/>
      <c r="AR39" s="62"/>
      <c r="AS39" s="214" t="s">
        <v>644</v>
      </c>
      <c r="AT39" s="214"/>
      <c r="AU39" s="17"/>
      <c r="AV39" s="17"/>
      <c r="AW39" s="17"/>
      <c r="AX39" s="17"/>
      <c r="AY39" s="17"/>
      <c r="AZ39" s="17"/>
      <c r="BA39" s="17"/>
      <c r="BB39" s="17"/>
      <c r="BC39" s="17"/>
      <c r="BD39" s="17"/>
      <c r="BE39" s="17"/>
      <c r="BF39" s="17"/>
      <c r="BG39" s="17"/>
      <c r="BH39" s="17"/>
      <c r="BI39" s="17"/>
      <c r="BJ39" s="17"/>
    </row>
    <row r="40" spans="1:62" ht="17.25" customHeight="1">
      <c r="A40" s="310"/>
      <c r="B40" s="312"/>
      <c r="C40" s="262"/>
      <c r="D40" s="262"/>
      <c r="E40" s="296"/>
      <c r="F40" s="312"/>
      <c r="G40" s="262"/>
      <c r="H40" s="262"/>
      <c r="I40" s="296"/>
      <c r="J40" s="194"/>
      <c r="K40" s="379" t="s">
        <v>612</v>
      </c>
      <c r="L40" s="303"/>
      <c r="M40" s="304"/>
      <c r="N40" s="195"/>
      <c r="O40" s="379" t="s">
        <v>612</v>
      </c>
      <c r="P40" s="303"/>
      <c r="Q40" s="304"/>
      <c r="R40" s="215"/>
      <c r="S40" s="216"/>
      <c r="T40" s="216"/>
      <c r="U40" s="217"/>
      <c r="V40" s="218"/>
      <c r="W40" s="219"/>
      <c r="X40" s="220"/>
      <c r="Y40" s="312"/>
      <c r="Z40" s="262"/>
      <c r="AA40" s="262"/>
      <c r="AB40" s="296"/>
      <c r="AC40" s="312"/>
      <c r="AD40" s="262"/>
      <c r="AE40" s="262"/>
      <c r="AF40" s="262"/>
      <c r="AG40" s="262"/>
      <c r="AH40" s="262"/>
      <c r="AI40" s="262"/>
      <c r="AJ40" s="262"/>
      <c r="AK40" s="262"/>
      <c r="AL40" s="221"/>
      <c r="AM40" s="222"/>
      <c r="AN40" s="223"/>
      <c r="AO40" s="216"/>
      <c r="AP40" s="216"/>
      <c r="AQ40" s="217"/>
      <c r="AR40" s="191"/>
      <c r="AS40" s="224"/>
      <c r="AT40" s="224"/>
      <c r="AU40" s="17"/>
      <c r="AV40" s="17"/>
      <c r="AW40" s="17"/>
      <c r="AX40" s="17"/>
      <c r="AY40" s="17"/>
      <c r="AZ40" s="17"/>
      <c r="BA40" s="17"/>
      <c r="BB40" s="17"/>
      <c r="BC40" s="17"/>
      <c r="BD40" s="17"/>
      <c r="BE40" s="17"/>
      <c r="BF40" s="17"/>
      <c r="BG40" s="17"/>
      <c r="BH40" s="17"/>
      <c r="BI40" s="17"/>
      <c r="BJ40" s="17"/>
    </row>
    <row r="41" spans="1:62" ht="17.25" customHeight="1">
      <c r="A41" s="380">
        <v>2</v>
      </c>
      <c r="B41" s="381"/>
      <c r="C41" s="255"/>
      <c r="D41" s="255"/>
      <c r="E41" s="257"/>
      <c r="F41" s="381"/>
      <c r="G41" s="255"/>
      <c r="H41" s="255"/>
      <c r="I41" s="257"/>
      <c r="J41" s="61"/>
      <c r="K41" s="382" t="s">
        <v>606</v>
      </c>
      <c r="L41" s="236"/>
      <c r="M41" s="292"/>
      <c r="N41" s="191"/>
      <c r="O41" s="382" t="s">
        <v>606</v>
      </c>
      <c r="P41" s="236"/>
      <c r="Q41" s="292"/>
      <c r="R41" s="61"/>
      <c r="S41" s="382" t="s">
        <v>642</v>
      </c>
      <c r="T41" s="236"/>
      <c r="U41" s="292"/>
      <c r="V41" s="210"/>
      <c r="W41" s="382" t="s">
        <v>607</v>
      </c>
      <c r="X41" s="292"/>
      <c r="Y41" s="402"/>
      <c r="Z41" s="255"/>
      <c r="AA41" s="255"/>
      <c r="AB41" s="257"/>
      <c r="AC41" s="391"/>
      <c r="AD41" s="255"/>
      <c r="AE41" s="255"/>
      <c r="AF41" s="255"/>
      <c r="AG41" s="255"/>
      <c r="AH41" s="255"/>
      <c r="AI41" s="255"/>
      <c r="AJ41" s="255"/>
      <c r="AK41" s="257"/>
      <c r="AL41" s="70"/>
      <c r="AM41" s="211"/>
      <c r="AN41" s="390" t="s">
        <v>642</v>
      </c>
      <c r="AO41" s="236"/>
      <c r="AP41" s="236"/>
      <c r="AQ41" s="292"/>
      <c r="AR41" s="61"/>
      <c r="AS41" s="212" t="s">
        <v>643</v>
      </c>
      <c r="AT41" s="211"/>
      <c r="AU41" s="17"/>
      <c r="AV41" s="17"/>
      <c r="AW41" s="17"/>
      <c r="AX41" s="17"/>
      <c r="AY41" s="17"/>
      <c r="AZ41" s="17"/>
      <c r="BA41" s="17"/>
      <c r="BB41" s="17"/>
      <c r="BC41" s="17"/>
      <c r="BD41" s="17"/>
      <c r="BE41" s="17"/>
      <c r="BF41" s="17"/>
      <c r="BG41" s="17"/>
      <c r="BH41" s="17"/>
      <c r="BI41" s="17"/>
      <c r="BJ41" s="17"/>
    </row>
    <row r="42" spans="1:62" ht="17.25" customHeight="1">
      <c r="A42" s="323"/>
      <c r="B42" s="321"/>
      <c r="C42" s="234"/>
      <c r="D42" s="234"/>
      <c r="E42" s="258"/>
      <c r="F42" s="321"/>
      <c r="G42" s="234"/>
      <c r="H42" s="234"/>
      <c r="I42" s="258"/>
      <c r="J42" s="61"/>
      <c r="K42" s="383" t="s">
        <v>611</v>
      </c>
      <c r="L42" s="301"/>
      <c r="M42" s="384"/>
      <c r="N42" s="191"/>
      <c r="O42" s="383" t="s">
        <v>611</v>
      </c>
      <c r="P42" s="301"/>
      <c r="Q42" s="384"/>
      <c r="R42" s="70"/>
      <c r="S42" s="383" t="s">
        <v>614</v>
      </c>
      <c r="T42" s="301"/>
      <c r="U42" s="384"/>
      <c r="V42" s="210"/>
      <c r="W42" s="383" t="s">
        <v>612</v>
      </c>
      <c r="X42" s="384"/>
      <c r="Y42" s="321"/>
      <c r="Z42" s="234"/>
      <c r="AA42" s="234"/>
      <c r="AB42" s="258"/>
      <c r="AC42" s="321"/>
      <c r="AD42" s="234"/>
      <c r="AE42" s="234"/>
      <c r="AF42" s="234"/>
      <c r="AG42" s="234"/>
      <c r="AH42" s="234"/>
      <c r="AI42" s="234"/>
      <c r="AJ42" s="234"/>
      <c r="AK42" s="258"/>
      <c r="AL42" s="70"/>
      <c r="AM42" s="213"/>
      <c r="AN42" s="233" t="s">
        <v>614</v>
      </c>
      <c r="AO42" s="234"/>
      <c r="AP42" s="234"/>
      <c r="AQ42" s="258"/>
      <c r="AR42" s="70"/>
      <c r="AS42" s="214" t="s">
        <v>644</v>
      </c>
      <c r="AT42" s="214"/>
      <c r="AU42" s="17"/>
      <c r="AV42" s="17"/>
      <c r="AW42" s="17"/>
      <c r="AX42" s="17"/>
      <c r="AY42" s="17"/>
      <c r="AZ42" s="17"/>
      <c r="BA42" s="17"/>
      <c r="BB42" s="17"/>
      <c r="BC42" s="17"/>
      <c r="BD42" s="17"/>
      <c r="BE42" s="17"/>
      <c r="BF42" s="17"/>
      <c r="BG42" s="17"/>
      <c r="BH42" s="17"/>
      <c r="BI42" s="17"/>
      <c r="BJ42" s="17"/>
    </row>
    <row r="43" spans="1:62" ht="17.25" customHeight="1">
      <c r="A43" s="310"/>
      <c r="B43" s="312"/>
      <c r="C43" s="262"/>
      <c r="D43" s="262"/>
      <c r="E43" s="296"/>
      <c r="F43" s="312"/>
      <c r="G43" s="262"/>
      <c r="H43" s="262"/>
      <c r="I43" s="296"/>
      <c r="J43" s="194"/>
      <c r="K43" s="379" t="s">
        <v>612</v>
      </c>
      <c r="L43" s="303"/>
      <c r="M43" s="304"/>
      <c r="N43" s="195"/>
      <c r="O43" s="379" t="s">
        <v>612</v>
      </c>
      <c r="P43" s="303"/>
      <c r="Q43" s="304"/>
      <c r="R43" s="215"/>
      <c r="S43" s="216"/>
      <c r="T43" s="216"/>
      <c r="U43" s="217"/>
      <c r="V43" s="218"/>
      <c r="W43" s="219"/>
      <c r="X43" s="220"/>
      <c r="Y43" s="312"/>
      <c r="Z43" s="262"/>
      <c r="AA43" s="262"/>
      <c r="AB43" s="296"/>
      <c r="AC43" s="312"/>
      <c r="AD43" s="262"/>
      <c r="AE43" s="262"/>
      <c r="AF43" s="262"/>
      <c r="AG43" s="262"/>
      <c r="AH43" s="262"/>
      <c r="AI43" s="262"/>
      <c r="AJ43" s="262"/>
      <c r="AK43" s="296"/>
      <c r="AL43" s="221"/>
      <c r="AM43" s="222"/>
      <c r="AN43" s="223"/>
      <c r="AO43" s="216"/>
      <c r="AP43" s="216"/>
      <c r="AQ43" s="217"/>
      <c r="AR43" s="61"/>
      <c r="AS43" s="224"/>
      <c r="AT43" s="224"/>
      <c r="AU43" s="17"/>
      <c r="AV43" s="17"/>
      <c r="AW43" s="17"/>
      <c r="AX43" s="17"/>
      <c r="AY43" s="17"/>
      <c r="AZ43" s="17"/>
      <c r="BA43" s="17"/>
      <c r="BB43" s="17"/>
      <c r="BC43" s="17"/>
      <c r="BD43" s="17"/>
      <c r="BE43" s="17"/>
      <c r="BF43" s="17"/>
      <c r="BG43" s="17"/>
      <c r="BH43" s="17"/>
      <c r="BI43" s="17"/>
      <c r="BJ43" s="17"/>
    </row>
    <row r="44" spans="1:62" ht="17.25" customHeight="1">
      <c r="A44" s="380">
        <v>3</v>
      </c>
      <c r="B44" s="381"/>
      <c r="C44" s="255"/>
      <c r="D44" s="255"/>
      <c r="E44" s="257"/>
      <c r="F44" s="381"/>
      <c r="G44" s="255"/>
      <c r="H44" s="255"/>
      <c r="I44" s="257"/>
      <c r="J44" s="61"/>
      <c r="K44" s="382" t="s">
        <v>606</v>
      </c>
      <c r="L44" s="236"/>
      <c r="M44" s="292"/>
      <c r="N44" s="191"/>
      <c r="O44" s="382" t="s">
        <v>606</v>
      </c>
      <c r="P44" s="236"/>
      <c r="Q44" s="292"/>
      <c r="R44" s="61"/>
      <c r="S44" s="382" t="s">
        <v>642</v>
      </c>
      <c r="T44" s="236"/>
      <c r="U44" s="292"/>
      <c r="V44" s="210"/>
      <c r="W44" s="382" t="s">
        <v>607</v>
      </c>
      <c r="X44" s="292"/>
      <c r="Y44" s="402"/>
      <c r="Z44" s="255"/>
      <c r="AA44" s="255"/>
      <c r="AB44" s="257"/>
      <c r="AC44" s="391"/>
      <c r="AD44" s="255"/>
      <c r="AE44" s="255"/>
      <c r="AF44" s="255"/>
      <c r="AG44" s="255"/>
      <c r="AH44" s="255"/>
      <c r="AI44" s="255"/>
      <c r="AJ44" s="255"/>
      <c r="AK44" s="257"/>
      <c r="AL44" s="70"/>
      <c r="AM44" s="211"/>
      <c r="AN44" s="390" t="s">
        <v>642</v>
      </c>
      <c r="AO44" s="236"/>
      <c r="AP44" s="236"/>
      <c r="AQ44" s="292"/>
      <c r="AR44" s="61"/>
      <c r="AS44" s="212" t="s">
        <v>643</v>
      </c>
      <c r="AT44" s="211"/>
      <c r="AU44" s="17"/>
      <c r="AV44" s="17"/>
      <c r="AW44" s="17"/>
      <c r="AX44" s="17"/>
      <c r="AY44" s="17"/>
      <c r="AZ44" s="17"/>
      <c r="BA44" s="17"/>
      <c r="BB44" s="17"/>
      <c r="BC44" s="17"/>
      <c r="BD44" s="17"/>
      <c r="BE44" s="17"/>
      <c r="BF44" s="17"/>
      <c r="BG44" s="17"/>
      <c r="BH44" s="17"/>
      <c r="BI44" s="17"/>
      <c r="BJ44" s="17"/>
    </row>
    <row r="45" spans="1:62" ht="17.25" customHeight="1">
      <c r="A45" s="323"/>
      <c r="B45" s="321"/>
      <c r="C45" s="234"/>
      <c r="D45" s="234"/>
      <c r="E45" s="258"/>
      <c r="F45" s="321"/>
      <c r="G45" s="234"/>
      <c r="H45" s="234"/>
      <c r="I45" s="258"/>
      <c r="J45" s="61"/>
      <c r="K45" s="383" t="s">
        <v>611</v>
      </c>
      <c r="L45" s="301"/>
      <c r="M45" s="384"/>
      <c r="N45" s="191"/>
      <c r="O45" s="383" t="s">
        <v>611</v>
      </c>
      <c r="P45" s="301"/>
      <c r="Q45" s="384"/>
      <c r="R45" s="70"/>
      <c r="S45" s="383" t="s">
        <v>614</v>
      </c>
      <c r="T45" s="301"/>
      <c r="U45" s="384"/>
      <c r="V45" s="210"/>
      <c r="W45" s="383" t="s">
        <v>612</v>
      </c>
      <c r="X45" s="384"/>
      <c r="Y45" s="321"/>
      <c r="Z45" s="234"/>
      <c r="AA45" s="234"/>
      <c r="AB45" s="258"/>
      <c r="AC45" s="321"/>
      <c r="AD45" s="234"/>
      <c r="AE45" s="234"/>
      <c r="AF45" s="234"/>
      <c r="AG45" s="234"/>
      <c r="AH45" s="234"/>
      <c r="AI45" s="234"/>
      <c r="AJ45" s="234"/>
      <c r="AK45" s="258"/>
      <c r="AL45" s="70"/>
      <c r="AM45" s="213"/>
      <c r="AN45" s="233" t="s">
        <v>614</v>
      </c>
      <c r="AO45" s="234"/>
      <c r="AP45" s="234"/>
      <c r="AQ45" s="258"/>
      <c r="AR45" s="70"/>
      <c r="AS45" s="214" t="s">
        <v>644</v>
      </c>
      <c r="AT45" s="214"/>
      <c r="AU45" s="17"/>
      <c r="AV45" s="17"/>
      <c r="AW45" s="17"/>
      <c r="AX45" s="17"/>
      <c r="AY45" s="17"/>
      <c r="AZ45" s="17"/>
      <c r="BA45" s="17"/>
      <c r="BB45" s="17"/>
      <c r="BC45" s="17"/>
      <c r="BD45" s="17"/>
      <c r="BE45" s="17"/>
      <c r="BF45" s="17"/>
      <c r="BG45" s="17"/>
      <c r="BH45" s="17"/>
      <c r="BI45" s="17"/>
      <c r="BJ45" s="17"/>
    </row>
    <row r="46" spans="1:62" ht="17.25" customHeight="1">
      <c r="A46" s="310"/>
      <c r="B46" s="312"/>
      <c r="C46" s="262"/>
      <c r="D46" s="262"/>
      <c r="E46" s="296"/>
      <c r="F46" s="312"/>
      <c r="G46" s="262"/>
      <c r="H46" s="262"/>
      <c r="I46" s="296"/>
      <c r="J46" s="194"/>
      <c r="K46" s="379" t="s">
        <v>612</v>
      </c>
      <c r="L46" s="303"/>
      <c r="M46" s="304"/>
      <c r="N46" s="195"/>
      <c r="O46" s="379" t="s">
        <v>612</v>
      </c>
      <c r="P46" s="303"/>
      <c r="Q46" s="304"/>
      <c r="R46" s="215"/>
      <c r="S46" s="216"/>
      <c r="T46" s="216"/>
      <c r="U46" s="217"/>
      <c r="V46" s="218"/>
      <c r="W46" s="219"/>
      <c r="X46" s="220"/>
      <c r="Y46" s="312"/>
      <c r="Z46" s="262"/>
      <c r="AA46" s="262"/>
      <c r="AB46" s="296"/>
      <c r="AC46" s="312"/>
      <c r="AD46" s="262"/>
      <c r="AE46" s="262"/>
      <c r="AF46" s="262"/>
      <c r="AG46" s="262"/>
      <c r="AH46" s="262"/>
      <c r="AI46" s="262"/>
      <c r="AJ46" s="262"/>
      <c r="AK46" s="296"/>
      <c r="AL46" s="221"/>
      <c r="AM46" s="222"/>
      <c r="AN46" s="223"/>
      <c r="AO46" s="216"/>
      <c r="AP46" s="216"/>
      <c r="AQ46" s="217"/>
      <c r="AR46" s="61"/>
      <c r="AS46" s="224"/>
      <c r="AT46" s="224"/>
      <c r="AU46" s="17"/>
      <c r="AV46" s="17"/>
      <c r="AW46" s="17"/>
      <c r="AX46" s="17"/>
      <c r="AY46" s="17"/>
      <c r="AZ46" s="17"/>
      <c r="BA46" s="17"/>
      <c r="BB46" s="17"/>
      <c r="BC46" s="17"/>
      <c r="BD46" s="17"/>
      <c r="BE46" s="17"/>
      <c r="BF46" s="17"/>
      <c r="BG46" s="17"/>
      <c r="BH46" s="17"/>
      <c r="BI46" s="17"/>
      <c r="BJ46" s="17"/>
    </row>
    <row r="47" spans="1:62" ht="6.75" customHeight="1">
      <c r="A47" s="197"/>
      <c r="B47" s="197"/>
      <c r="C47" s="403"/>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197"/>
      <c r="AS47" s="197"/>
      <c r="AT47" s="197"/>
      <c r="AU47" s="197"/>
      <c r="AV47" s="197"/>
      <c r="AW47" s="197"/>
      <c r="AX47" s="197"/>
      <c r="AY47" s="197"/>
      <c r="AZ47" s="197"/>
      <c r="BA47" s="197"/>
      <c r="BB47" s="197"/>
      <c r="BC47" s="197"/>
      <c r="BD47" s="197"/>
      <c r="BE47" s="197"/>
      <c r="BF47" s="197"/>
      <c r="BG47" s="197"/>
      <c r="BH47" s="197"/>
      <c r="BI47" s="197"/>
      <c r="BJ47" s="197"/>
    </row>
  </sheetData>
  <mergeCells count="321">
    <mergeCell ref="O20:Q20"/>
    <mergeCell ref="G26:I26"/>
    <mergeCell ref="G27:I27"/>
    <mergeCell ref="K27:M27"/>
    <mergeCell ref="O27:Q27"/>
    <mergeCell ref="R27:T27"/>
    <mergeCell ref="U27:W27"/>
    <mergeCell ref="B25:E27"/>
    <mergeCell ref="G25:I25"/>
    <mergeCell ref="K25:M25"/>
    <mergeCell ref="O25:Q25"/>
    <mergeCell ref="K26:M26"/>
    <mergeCell ref="V26:W26"/>
    <mergeCell ref="O13:Q13"/>
    <mergeCell ref="O14:Q14"/>
    <mergeCell ref="A13:A15"/>
    <mergeCell ref="B13:E15"/>
    <mergeCell ref="K13:M13"/>
    <mergeCell ref="X13:AE15"/>
    <mergeCell ref="X19:AE21"/>
    <mergeCell ref="G14:I14"/>
    <mergeCell ref="G15:I15"/>
    <mergeCell ref="G17:I17"/>
    <mergeCell ref="G18:I18"/>
    <mergeCell ref="G20:I20"/>
    <mergeCell ref="G21:I21"/>
    <mergeCell ref="A25:A27"/>
    <mergeCell ref="K19:M19"/>
    <mergeCell ref="O19:Q19"/>
    <mergeCell ref="O23:Q23"/>
    <mergeCell ref="O24:Q24"/>
    <mergeCell ref="O21:Q21"/>
    <mergeCell ref="O22:Q22"/>
    <mergeCell ref="K23:M23"/>
    <mergeCell ref="O26:Q26"/>
    <mergeCell ref="AG13:AI13"/>
    <mergeCell ref="K14:M14"/>
    <mergeCell ref="AG14:AI14"/>
    <mergeCell ref="AG15:AI15"/>
    <mergeCell ref="R15:T15"/>
    <mergeCell ref="U15:W15"/>
    <mergeCell ref="X16:AE18"/>
    <mergeCell ref="AG16:AI16"/>
    <mergeCell ref="S17:T17"/>
    <mergeCell ref="V17:W17"/>
    <mergeCell ref="AG17:AI17"/>
    <mergeCell ref="AG18:AI18"/>
    <mergeCell ref="R18:T18"/>
    <mergeCell ref="U18:W18"/>
    <mergeCell ref="S13:T13"/>
    <mergeCell ref="V13:W13"/>
    <mergeCell ref="S14:T14"/>
    <mergeCell ref="V14:W14"/>
    <mergeCell ref="K16:M16"/>
    <mergeCell ref="O16:Q16"/>
    <mergeCell ref="S16:T16"/>
    <mergeCell ref="V16:W16"/>
    <mergeCell ref="K15:M15"/>
    <mergeCell ref="O15:Q15"/>
    <mergeCell ref="AG20:AI20"/>
    <mergeCell ref="AG21:AI21"/>
    <mergeCell ref="S22:T22"/>
    <mergeCell ref="S23:T23"/>
    <mergeCell ref="S25:T25"/>
    <mergeCell ref="V25:W25"/>
    <mergeCell ref="AG22:AI22"/>
    <mergeCell ref="AG23:AI23"/>
    <mergeCell ref="AG25:AI25"/>
    <mergeCell ref="R21:T21"/>
    <mergeCell ref="U21:W21"/>
    <mergeCell ref="R24:T24"/>
    <mergeCell ref="U24:W24"/>
    <mergeCell ref="AG24:AI24"/>
    <mergeCell ref="V22:W22"/>
    <mergeCell ref="X22:AE24"/>
    <mergeCell ref="V23:W23"/>
    <mergeCell ref="X25:AE27"/>
    <mergeCell ref="S26:T26"/>
    <mergeCell ref="B36:I36"/>
    <mergeCell ref="J36:X36"/>
    <mergeCell ref="Y36:AK36"/>
    <mergeCell ref="AL36:AQ37"/>
    <mergeCell ref="AY36:BF36"/>
    <mergeCell ref="AY37:BB37"/>
    <mergeCell ref="BC37:BF37"/>
    <mergeCell ref="BG37:BJ37"/>
    <mergeCell ref="B37:E37"/>
    <mergeCell ref="F37:I37"/>
    <mergeCell ref="J37:M37"/>
    <mergeCell ref="N37:Q37"/>
    <mergeCell ref="R37:U37"/>
    <mergeCell ref="V37:X37"/>
    <mergeCell ref="Y37:AB37"/>
    <mergeCell ref="AC37:AK37"/>
    <mergeCell ref="A44:A46"/>
    <mergeCell ref="B44:E46"/>
    <mergeCell ref="F44:I46"/>
    <mergeCell ref="K40:M40"/>
    <mergeCell ref="O40:Q40"/>
    <mergeCell ref="A41:A43"/>
    <mergeCell ref="B41:E43"/>
    <mergeCell ref="F41:I43"/>
    <mergeCell ref="K41:M41"/>
    <mergeCell ref="K42:M42"/>
    <mergeCell ref="A38:A40"/>
    <mergeCell ref="B38:E40"/>
    <mergeCell ref="F38:I40"/>
    <mergeCell ref="K38:M38"/>
    <mergeCell ref="K39:M39"/>
    <mergeCell ref="AC44:AK46"/>
    <mergeCell ref="AN44:AQ44"/>
    <mergeCell ref="AN45:AQ45"/>
    <mergeCell ref="O44:Q44"/>
    <mergeCell ref="O45:Q45"/>
    <mergeCell ref="W44:X44"/>
    <mergeCell ref="W45:X45"/>
    <mergeCell ref="K46:M46"/>
    <mergeCell ref="O46:Q46"/>
    <mergeCell ref="C47:AQ47"/>
    <mergeCell ref="K43:M43"/>
    <mergeCell ref="O43:Q43"/>
    <mergeCell ref="K44:M44"/>
    <mergeCell ref="S44:U44"/>
    <mergeCell ref="Y44:AB46"/>
    <mergeCell ref="K45:M45"/>
    <mergeCell ref="S45:U45"/>
    <mergeCell ref="B31:AA31"/>
    <mergeCell ref="AB31:AG31"/>
    <mergeCell ref="AH31:AL31"/>
    <mergeCell ref="AM31:AQ31"/>
    <mergeCell ref="AB32:AG32"/>
    <mergeCell ref="AH32:AL32"/>
    <mergeCell ref="AM32:AQ32"/>
    <mergeCell ref="B32:AA32"/>
    <mergeCell ref="B33:AA33"/>
    <mergeCell ref="AB33:AG33"/>
    <mergeCell ref="AH33:AL33"/>
    <mergeCell ref="AM33:AQ33"/>
    <mergeCell ref="A35:AT35"/>
    <mergeCell ref="A36:A37"/>
    <mergeCell ref="S38:U38"/>
    <mergeCell ref="W38:X38"/>
    <mergeCell ref="AN41:AQ41"/>
    <mergeCell ref="AN42:AQ42"/>
    <mergeCell ref="O38:Q38"/>
    <mergeCell ref="O39:Q39"/>
    <mergeCell ref="S39:U39"/>
    <mergeCell ref="W39:X39"/>
    <mergeCell ref="S41:U41"/>
    <mergeCell ref="W41:X41"/>
    <mergeCell ref="Y41:AB43"/>
    <mergeCell ref="AC41:AK43"/>
    <mergeCell ref="S42:U42"/>
    <mergeCell ref="W42:X42"/>
    <mergeCell ref="O41:Q41"/>
    <mergeCell ref="O42:Q42"/>
    <mergeCell ref="V4:W4"/>
    <mergeCell ref="S5:T5"/>
    <mergeCell ref="V5:W5"/>
    <mergeCell ref="R6:T6"/>
    <mergeCell ref="U6:W6"/>
    <mergeCell ref="X3:AE3"/>
    <mergeCell ref="Y38:AB40"/>
    <mergeCell ref="AC38:AK40"/>
    <mergeCell ref="AN38:AQ38"/>
    <mergeCell ref="AN39:AQ39"/>
    <mergeCell ref="AK25:AM25"/>
    <mergeCell ref="AO25:AQ25"/>
    <mergeCell ref="AK26:AM26"/>
    <mergeCell ref="AO26:AQ26"/>
    <mergeCell ref="AH30:AL30"/>
    <mergeCell ref="AM30:AQ30"/>
    <mergeCell ref="AG26:AI26"/>
    <mergeCell ref="AG27:AI27"/>
    <mergeCell ref="AK27:AM27"/>
    <mergeCell ref="AO27:AQ27"/>
    <mergeCell ref="A29:AT29"/>
    <mergeCell ref="B30:AA30"/>
    <mergeCell ref="AB30:AG30"/>
    <mergeCell ref="AG19:AI19"/>
    <mergeCell ref="X4:AE6"/>
    <mergeCell ref="AG4:AI4"/>
    <mergeCell ref="AG5:AI5"/>
    <mergeCell ref="AG6:AI6"/>
    <mergeCell ref="AJ3:AM3"/>
    <mergeCell ref="AN3:AQ3"/>
    <mergeCell ref="AK4:AM4"/>
    <mergeCell ref="AO4:AQ4"/>
    <mergeCell ref="AK5:AM5"/>
    <mergeCell ref="AO5:AQ5"/>
    <mergeCell ref="AK6:AM6"/>
    <mergeCell ref="AO6:AQ6"/>
    <mergeCell ref="AY3:BB3"/>
    <mergeCell ref="BC3:BF3"/>
    <mergeCell ref="BG3:BJ3"/>
    <mergeCell ref="A1:AT1"/>
    <mergeCell ref="A2:A3"/>
    <mergeCell ref="B2:E3"/>
    <mergeCell ref="F2:T2"/>
    <mergeCell ref="X2:AQ2"/>
    <mergeCell ref="AY2:BF2"/>
    <mergeCell ref="F3:I3"/>
    <mergeCell ref="J3:M3"/>
    <mergeCell ref="N3:Q3"/>
    <mergeCell ref="AF3:AI3"/>
    <mergeCell ref="R3:T3"/>
    <mergeCell ref="U3:W3"/>
    <mergeCell ref="AK9:AM9"/>
    <mergeCell ref="A7:A9"/>
    <mergeCell ref="K7:M7"/>
    <mergeCell ref="X7:AE9"/>
    <mergeCell ref="AG7:AI7"/>
    <mergeCell ref="AO7:AQ7"/>
    <mergeCell ref="AG8:AI8"/>
    <mergeCell ref="AO8:AQ8"/>
    <mergeCell ref="AO9:AQ9"/>
    <mergeCell ref="K9:M9"/>
    <mergeCell ref="O9:Q9"/>
    <mergeCell ref="AK7:AM7"/>
    <mergeCell ref="AK8:AM8"/>
    <mergeCell ref="G7:I7"/>
    <mergeCell ref="G8:I8"/>
    <mergeCell ref="O7:Q7"/>
    <mergeCell ref="S7:T7"/>
    <mergeCell ref="V7:W7"/>
    <mergeCell ref="B7:E9"/>
    <mergeCell ref="G9:I9"/>
    <mergeCell ref="R9:T9"/>
    <mergeCell ref="U9:W9"/>
    <mergeCell ref="AG9:AI9"/>
    <mergeCell ref="AG10:AI10"/>
    <mergeCell ref="AG11:AI11"/>
    <mergeCell ref="AG12:AI12"/>
    <mergeCell ref="O11:Q11"/>
    <mergeCell ref="O12:Q12"/>
    <mergeCell ref="R12:T12"/>
    <mergeCell ref="U12:W12"/>
    <mergeCell ref="O10:Q10"/>
    <mergeCell ref="V10:W10"/>
    <mergeCell ref="X10:AE12"/>
    <mergeCell ref="V11:W11"/>
    <mergeCell ref="S10:T10"/>
    <mergeCell ref="S11:T11"/>
    <mergeCell ref="AK10:AM10"/>
    <mergeCell ref="AO10:AQ10"/>
    <mergeCell ref="AK11:AM11"/>
    <mergeCell ref="AO11:AQ11"/>
    <mergeCell ref="AO12:AQ12"/>
    <mergeCell ref="AK19:AM19"/>
    <mergeCell ref="AK20:AM20"/>
    <mergeCell ref="AK21:AM21"/>
    <mergeCell ref="AK22:AM22"/>
    <mergeCell ref="AO20:AQ20"/>
    <mergeCell ref="AO21:AQ21"/>
    <mergeCell ref="AO22:AQ22"/>
    <mergeCell ref="AK23:AM23"/>
    <mergeCell ref="AK24:AM24"/>
    <mergeCell ref="AK12:AM12"/>
    <mergeCell ref="AK13:AM13"/>
    <mergeCell ref="AK14:AM14"/>
    <mergeCell ref="AK15:AM15"/>
    <mergeCell ref="AK16:AM16"/>
    <mergeCell ref="AK17:AM17"/>
    <mergeCell ref="AK18:AM18"/>
    <mergeCell ref="AO23:AQ23"/>
    <mergeCell ref="AO24:AQ24"/>
    <mergeCell ref="AO13:AQ13"/>
    <mergeCell ref="AO14:AQ14"/>
    <mergeCell ref="AO15:AQ15"/>
    <mergeCell ref="AO16:AQ16"/>
    <mergeCell ref="AO17:AQ17"/>
    <mergeCell ref="AO18:AQ18"/>
    <mergeCell ref="AO19:AQ19"/>
    <mergeCell ref="V8:W8"/>
    <mergeCell ref="B10:E12"/>
    <mergeCell ref="G10:I10"/>
    <mergeCell ref="G11:I11"/>
    <mergeCell ref="G12:I12"/>
    <mergeCell ref="G13:I13"/>
    <mergeCell ref="G22:I22"/>
    <mergeCell ref="G23:I23"/>
    <mergeCell ref="G24:I24"/>
    <mergeCell ref="B16:E18"/>
    <mergeCell ref="B19:E21"/>
    <mergeCell ref="B22:E24"/>
    <mergeCell ref="G16:I16"/>
    <mergeCell ref="G19:I19"/>
    <mergeCell ref="K10:M10"/>
    <mergeCell ref="K11:M11"/>
    <mergeCell ref="K12:M12"/>
    <mergeCell ref="S20:T20"/>
    <mergeCell ref="V20:W20"/>
    <mergeCell ref="S19:T19"/>
    <mergeCell ref="V19:W19"/>
    <mergeCell ref="K20:M20"/>
    <mergeCell ref="K21:M21"/>
    <mergeCell ref="K22:M22"/>
    <mergeCell ref="K24:M24"/>
    <mergeCell ref="A4:A6"/>
    <mergeCell ref="B4:E6"/>
    <mergeCell ref="G4:I4"/>
    <mergeCell ref="O4:Q4"/>
    <mergeCell ref="K6:M6"/>
    <mergeCell ref="K8:M8"/>
    <mergeCell ref="O8:Q8"/>
    <mergeCell ref="S8:T8"/>
    <mergeCell ref="A10:A12"/>
    <mergeCell ref="A16:A18"/>
    <mergeCell ref="A19:A21"/>
    <mergeCell ref="A22:A24"/>
    <mergeCell ref="K4:M4"/>
    <mergeCell ref="K5:M5"/>
    <mergeCell ref="G5:I5"/>
    <mergeCell ref="G6:I6"/>
    <mergeCell ref="O5:Q5"/>
    <mergeCell ref="O6:Q6"/>
    <mergeCell ref="S4:T4"/>
    <mergeCell ref="K17:M17"/>
    <mergeCell ref="O17:Q17"/>
    <mergeCell ref="K18:M18"/>
    <mergeCell ref="O18:Q18"/>
  </mergeCells>
  <pageMargins left="0.69930555555555596" right="0.69930555555555596" top="0.75" bottom="0.75" header="0" footer="0"/>
  <pageSetup paperSize="9" scale="75"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P53"/>
  <sheetViews>
    <sheetView workbookViewId="0"/>
  </sheetViews>
  <sheetFormatPr defaultColWidth="14.44140625" defaultRowHeight="15" customHeight="1"/>
  <cols>
    <col min="1" max="1" width="4.5546875" customWidth="1"/>
    <col min="2" max="2" width="7" customWidth="1"/>
    <col min="3" max="3" width="9.5546875" customWidth="1"/>
    <col min="4" max="4" width="2.5546875" customWidth="1"/>
    <col min="5" max="5" width="4.109375" customWidth="1"/>
    <col min="6" max="6" width="5.109375" customWidth="1"/>
    <col min="7" max="8" width="2.5546875" customWidth="1"/>
    <col min="9" max="9" width="8.88671875" customWidth="1"/>
    <col min="10" max="10" width="5.109375" customWidth="1"/>
    <col min="11" max="12" width="2.5546875" customWidth="1"/>
    <col min="13" max="13" width="8.44140625" customWidth="1"/>
    <col min="14" max="14" width="5.109375" customWidth="1"/>
    <col min="15" max="16" width="3.5546875" customWidth="1"/>
    <col min="17" max="17" width="4" customWidth="1"/>
    <col min="18" max="18" width="2.5546875" customWidth="1"/>
    <col min="19" max="19" width="3.109375" customWidth="1"/>
    <col min="20" max="20" width="2.5546875" customWidth="1"/>
    <col min="21" max="22" width="3.5546875" customWidth="1"/>
    <col min="23" max="23" width="4" customWidth="1"/>
    <col min="24" max="24" width="2" hidden="1" customWidth="1"/>
    <col min="25" max="25" width="8.88671875" customWidth="1"/>
    <col min="26" max="27" width="3.5546875" customWidth="1"/>
    <col min="28" max="28" width="1.44140625" customWidth="1"/>
    <col min="29" max="29" width="2.88671875" customWidth="1"/>
    <col min="30" max="30" width="3.5546875" customWidth="1"/>
    <col min="31" max="31" width="2.5546875" customWidth="1"/>
    <col min="32" max="34" width="2.44140625" customWidth="1"/>
    <col min="35" max="37" width="2.5546875" customWidth="1"/>
    <col min="38" max="38" width="0.44140625" customWidth="1"/>
    <col min="39" max="39" width="2.5546875" customWidth="1"/>
    <col min="40" max="40" width="2.88671875" customWidth="1"/>
    <col min="41" max="41" width="3.109375" customWidth="1"/>
    <col min="42" max="42" width="1.44140625" customWidth="1"/>
    <col min="43" max="44" width="2.88671875" customWidth="1"/>
    <col min="45" max="45" width="1.88671875" customWidth="1"/>
  </cols>
  <sheetData>
    <row r="1" spans="1:42" ht="35.25" customHeight="1">
      <c r="A1" s="415" t="s">
        <v>645</v>
      </c>
      <c r="B1" s="335"/>
      <c r="C1" s="335"/>
      <c r="D1" s="335"/>
      <c r="E1" s="335"/>
      <c r="F1" s="335"/>
      <c r="G1" s="335"/>
      <c r="H1" s="335"/>
      <c r="I1" s="335"/>
      <c r="J1" s="335"/>
      <c r="K1" s="335"/>
      <c r="L1" s="335"/>
      <c r="M1" s="335"/>
      <c r="N1" s="335"/>
      <c r="O1" s="335"/>
      <c r="P1" s="335"/>
      <c r="Q1" s="335"/>
      <c r="R1" s="335"/>
      <c r="S1" s="335"/>
      <c r="T1" s="335"/>
      <c r="U1" s="335"/>
      <c r="V1" s="335"/>
      <c r="W1" s="335"/>
      <c r="X1" s="335"/>
      <c r="Y1" s="337"/>
      <c r="Z1" s="68"/>
      <c r="AA1" s="68"/>
      <c r="AB1" s="68"/>
      <c r="AC1" s="68"/>
      <c r="AD1" s="68"/>
      <c r="AE1" s="68"/>
      <c r="AF1" s="68"/>
      <c r="AG1" s="68"/>
      <c r="AH1" s="68"/>
      <c r="AI1" s="68"/>
      <c r="AJ1" s="68"/>
      <c r="AK1" s="68"/>
      <c r="AL1" s="68"/>
      <c r="AM1" s="68"/>
      <c r="AN1" s="68"/>
      <c r="AO1" s="68"/>
      <c r="AP1" s="68"/>
    </row>
    <row r="2" spans="1:42" ht="14.25" customHeight="1">
      <c r="A2" s="416" t="s">
        <v>139</v>
      </c>
      <c r="B2" s="394" t="s">
        <v>646</v>
      </c>
      <c r="C2" s="395"/>
      <c r="D2" s="395"/>
      <c r="E2" s="396"/>
      <c r="F2" s="278" t="s">
        <v>647</v>
      </c>
      <c r="G2" s="239"/>
      <c r="H2" s="239"/>
      <c r="I2" s="239"/>
      <c r="J2" s="239"/>
      <c r="K2" s="239"/>
      <c r="L2" s="239"/>
      <c r="M2" s="239"/>
      <c r="N2" s="239"/>
      <c r="O2" s="239"/>
      <c r="P2" s="243"/>
      <c r="Q2" s="417" t="s">
        <v>648</v>
      </c>
      <c r="R2" s="255"/>
      <c r="S2" s="257"/>
      <c r="T2" s="417" t="s">
        <v>649</v>
      </c>
      <c r="U2" s="255"/>
      <c r="V2" s="257"/>
      <c r="W2" s="417" t="s">
        <v>68</v>
      </c>
      <c r="X2" s="255"/>
      <c r="Y2" s="350"/>
      <c r="Z2" s="17"/>
      <c r="AA2" s="17"/>
      <c r="AB2" s="17"/>
      <c r="AC2" s="17"/>
      <c r="AD2" s="17"/>
      <c r="AE2" s="305"/>
      <c r="AF2" s="234"/>
      <c r="AG2" s="234"/>
      <c r="AH2" s="234"/>
      <c r="AI2" s="234"/>
      <c r="AJ2" s="234"/>
      <c r="AK2" s="234"/>
      <c r="AL2" s="234"/>
      <c r="AM2" s="17"/>
      <c r="AN2" s="17"/>
      <c r="AO2" s="17"/>
      <c r="AP2" s="17"/>
    </row>
    <row r="3" spans="1:42" ht="68.25" customHeight="1">
      <c r="A3" s="280"/>
      <c r="B3" s="312"/>
      <c r="C3" s="262"/>
      <c r="D3" s="262"/>
      <c r="E3" s="296"/>
      <c r="F3" s="408" t="s">
        <v>597</v>
      </c>
      <c r="G3" s="236"/>
      <c r="H3" s="236"/>
      <c r="I3" s="292"/>
      <c r="J3" s="408" t="s">
        <v>598</v>
      </c>
      <c r="K3" s="236"/>
      <c r="L3" s="236"/>
      <c r="M3" s="236"/>
      <c r="N3" s="286" t="s">
        <v>600</v>
      </c>
      <c r="O3" s="239"/>
      <c r="P3" s="243"/>
      <c r="Q3" s="312"/>
      <c r="R3" s="262"/>
      <c r="S3" s="296"/>
      <c r="T3" s="312"/>
      <c r="U3" s="262"/>
      <c r="V3" s="296"/>
      <c r="W3" s="312"/>
      <c r="X3" s="262"/>
      <c r="Y3" s="371"/>
      <c r="Z3" s="17"/>
      <c r="AA3" s="17"/>
      <c r="AB3" s="17"/>
      <c r="AC3" s="17"/>
      <c r="AD3" s="17"/>
      <c r="AE3" s="305"/>
      <c r="AF3" s="234"/>
      <c r="AG3" s="234"/>
      <c r="AH3" s="234"/>
      <c r="AI3" s="305"/>
      <c r="AJ3" s="234"/>
      <c r="AK3" s="234"/>
      <c r="AL3" s="234"/>
      <c r="AM3" s="305"/>
      <c r="AN3" s="234"/>
      <c r="AO3" s="234"/>
      <c r="AP3" s="234"/>
    </row>
    <row r="4" spans="1:42" ht="15" customHeight="1">
      <c r="A4" s="413"/>
      <c r="B4" s="414"/>
      <c r="C4" s="255"/>
      <c r="D4" s="255"/>
      <c r="E4" s="257"/>
      <c r="F4" s="61"/>
      <c r="G4" s="382" t="s">
        <v>650</v>
      </c>
      <c r="H4" s="236"/>
      <c r="I4" s="292"/>
      <c r="J4" s="191"/>
      <c r="K4" s="382" t="s">
        <v>643</v>
      </c>
      <c r="L4" s="236"/>
      <c r="M4" s="292"/>
      <c r="N4" s="62"/>
      <c r="O4" s="390" t="s">
        <v>607</v>
      </c>
      <c r="P4" s="236"/>
      <c r="Q4" s="381"/>
      <c r="R4" s="255"/>
      <c r="S4" s="257"/>
      <c r="T4" s="381"/>
      <c r="U4" s="255"/>
      <c r="V4" s="257"/>
      <c r="W4" s="381"/>
      <c r="X4" s="255"/>
      <c r="Y4" s="350"/>
      <c r="Z4" s="24"/>
      <c r="AA4" s="24"/>
      <c r="AB4" s="24"/>
      <c r="AC4" s="24"/>
      <c r="AD4" s="24"/>
      <c r="AE4" s="24"/>
      <c r="AF4" s="24"/>
      <c r="AG4" s="24"/>
      <c r="AH4" s="24"/>
      <c r="AI4" s="24"/>
      <c r="AJ4" s="24"/>
      <c r="AK4" s="24"/>
      <c r="AL4" s="24"/>
      <c r="AM4" s="24"/>
      <c r="AN4" s="24"/>
      <c r="AO4" s="24"/>
      <c r="AP4" s="24"/>
    </row>
    <row r="5" spans="1:42" ht="15" customHeight="1">
      <c r="A5" s="252"/>
      <c r="B5" s="321"/>
      <c r="C5" s="234"/>
      <c r="D5" s="234"/>
      <c r="E5" s="258"/>
      <c r="F5" s="61"/>
      <c r="G5" s="383" t="s">
        <v>651</v>
      </c>
      <c r="H5" s="301"/>
      <c r="I5" s="384"/>
      <c r="J5" s="191"/>
      <c r="K5" s="383" t="s">
        <v>652</v>
      </c>
      <c r="L5" s="301"/>
      <c r="M5" s="384"/>
      <c r="N5" s="62"/>
      <c r="O5" s="385" t="s">
        <v>612</v>
      </c>
      <c r="P5" s="301"/>
      <c r="Q5" s="321"/>
      <c r="R5" s="234"/>
      <c r="S5" s="258"/>
      <c r="T5" s="321"/>
      <c r="U5" s="234"/>
      <c r="V5" s="258"/>
      <c r="W5" s="321"/>
      <c r="X5" s="234"/>
      <c r="Y5" s="248"/>
      <c r="Z5" s="24"/>
      <c r="AA5" s="24"/>
      <c r="AB5" s="24"/>
      <c r="AC5" s="24"/>
      <c r="AD5" s="24"/>
      <c r="AE5" s="24"/>
      <c r="AF5" s="24"/>
      <c r="AG5" s="24"/>
      <c r="AH5" s="24"/>
      <c r="AI5" s="24"/>
      <c r="AJ5" s="24"/>
      <c r="AK5" s="24"/>
      <c r="AL5" s="24"/>
      <c r="AM5" s="24"/>
      <c r="AN5" s="24"/>
      <c r="AO5" s="24"/>
      <c r="AP5" s="24"/>
    </row>
    <row r="6" spans="1:42" ht="15" customHeight="1">
      <c r="A6" s="280"/>
      <c r="B6" s="312"/>
      <c r="C6" s="262"/>
      <c r="D6" s="262"/>
      <c r="E6" s="296"/>
      <c r="F6" s="194"/>
      <c r="G6" s="379" t="s">
        <v>653</v>
      </c>
      <c r="H6" s="303"/>
      <c r="I6" s="304"/>
      <c r="J6" s="389"/>
      <c r="K6" s="303"/>
      <c r="L6" s="303"/>
      <c r="M6" s="304"/>
      <c r="N6" s="62"/>
      <c r="O6" s="385" t="s">
        <v>654</v>
      </c>
      <c r="P6" s="301"/>
      <c r="Q6" s="312"/>
      <c r="R6" s="262"/>
      <c r="S6" s="296"/>
      <c r="T6" s="312"/>
      <c r="U6" s="262"/>
      <c r="V6" s="296"/>
      <c r="W6" s="312"/>
      <c r="X6" s="262"/>
      <c r="Y6" s="371"/>
      <c r="Z6" s="24"/>
      <c r="AA6" s="24"/>
      <c r="AB6" s="24"/>
      <c r="AC6" s="24"/>
      <c r="AD6" s="24"/>
      <c r="AE6" s="24"/>
      <c r="AF6" s="24"/>
      <c r="AG6" s="24"/>
      <c r="AH6" s="24"/>
      <c r="AI6" s="24"/>
      <c r="AJ6" s="24"/>
      <c r="AK6" s="24"/>
      <c r="AL6" s="24"/>
      <c r="AM6" s="24"/>
      <c r="AN6" s="24"/>
      <c r="AO6" s="24"/>
      <c r="AP6" s="24"/>
    </row>
    <row r="7" spans="1:42" ht="15" customHeight="1">
      <c r="A7" s="413"/>
      <c r="B7" s="414"/>
      <c r="C7" s="255"/>
      <c r="D7" s="255"/>
      <c r="E7" s="257"/>
      <c r="F7" s="61"/>
      <c r="G7" s="382" t="s">
        <v>650</v>
      </c>
      <c r="H7" s="236"/>
      <c r="I7" s="292"/>
      <c r="J7" s="191"/>
      <c r="K7" s="382" t="s">
        <v>643</v>
      </c>
      <c r="L7" s="236"/>
      <c r="M7" s="292"/>
      <c r="N7" s="62"/>
      <c r="O7" s="390" t="s">
        <v>607</v>
      </c>
      <c r="P7" s="236"/>
      <c r="Q7" s="381"/>
      <c r="R7" s="255"/>
      <c r="S7" s="257"/>
      <c r="T7" s="381"/>
      <c r="U7" s="255"/>
      <c r="V7" s="257"/>
      <c r="W7" s="381"/>
      <c r="X7" s="255"/>
      <c r="Y7" s="350"/>
      <c r="Z7" s="24"/>
      <c r="AA7" s="24"/>
      <c r="AB7" s="24"/>
      <c r="AC7" s="24"/>
      <c r="AD7" s="24"/>
      <c r="AE7" s="24"/>
      <c r="AF7" s="24"/>
      <c r="AG7" s="24"/>
      <c r="AH7" s="24"/>
      <c r="AI7" s="24"/>
      <c r="AJ7" s="24"/>
      <c r="AK7" s="24"/>
      <c r="AL7" s="24"/>
      <c r="AM7" s="24"/>
      <c r="AN7" s="24"/>
      <c r="AO7" s="24"/>
      <c r="AP7" s="24"/>
    </row>
    <row r="8" spans="1:42" ht="15" customHeight="1">
      <c r="A8" s="252"/>
      <c r="B8" s="321"/>
      <c r="C8" s="234"/>
      <c r="D8" s="234"/>
      <c r="E8" s="258"/>
      <c r="F8" s="61"/>
      <c r="G8" s="383" t="s">
        <v>651</v>
      </c>
      <c r="H8" s="301"/>
      <c r="I8" s="384"/>
      <c r="J8" s="191"/>
      <c r="K8" s="383" t="s">
        <v>652</v>
      </c>
      <c r="L8" s="301"/>
      <c r="M8" s="384"/>
      <c r="N8" s="62"/>
      <c r="O8" s="385" t="s">
        <v>612</v>
      </c>
      <c r="P8" s="301"/>
      <c r="Q8" s="321"/>
      <c r="R8" s="234"/>
      <c r="S8" s="258"/>
      <c r="T8" s="321"/>
      <c r="U8" s="234"/>
      <c r="V8" s="258"/>
      <c r="W8" s="321"/>
      <c r="X8" s="234"/>
      <c r="Y8" s="248"/>
      <c r="Z8" s="24"/>
      <c r="AA8" s="24"/>
      <c r="AB8" s="24"/>
      <c r="AC8" s="24"/>
      <c r="AD8" s="24"/>
      <c r="AE8" s="24"/>
      <c r="AF8" s="24"/>
      <c r="AG8" s="24"/>
      <c r="AH8" s="24"/>
      <c r="AI8" s="24"/>
      <c r="AJ8" s="24"/>
      <c r="AK8" s="24"/>
      <c r="AL8" s="24"/>
      <c r="AM8" s="24"/>
      <c r="AN8" s="24"/>
      <c r="AO8" s="24"/>
      <c r="AP8" s="24"/>
    </row>
    <row r="9" spans="1:42" ht="15" customHeight="1">
      <c r="A9" s="280"/>
      <c r="B9" s="312"/>
      <c r="C9" s="262"/>
      <c r="D9" s="262"/>
      <c r="E9" s="296"/>
      <c r="F9" s="194"/>
      <c r="G9" s="379" t="s">
        <v>653</v>
      </c>
      <c r="H9" s="303"/>
      <c r="I9" s="304"/>
      <c r="J9" s="389"/>
      <c r="K9" s="303"/>
      <c r="L9" s="303"/>
      <c r="M9" s="304"/>
      <c r="N9" s="62"/>
      <c r="O9" s="385" t="s">
        <v>654</v>
      </c>
      <c r="P9" s="301"/>
      <c r="Q9" s="312"/>
      <c r="R9" s="262"/>
      <c r="S9" s="296"/>
      <c r="T9" s="312"/>
      <c r="U9" s="262"/>
      <c r="V9" s="296"/>
      <c r="W9" s="312"/>
      <c r="X9" s="262"/>
      <c r="Y9" s="371"/>
      <c r="Z9" s="24"/>
      <c r="AA9" s="24"/>
      <c r="AB9" s="24"/>
      <c r="AC9" s="24"/>
      <c r="AD9" s="24"/>
      <c r="AE9" s="24"/>
      <c r="AF9" s="24"/>
      <c r="AG9" s="24"/>
      <c r="AH9" s="24"/>
      <c r="AI9" s="24"/>
      <c r="AJ9" s="24"/>
      <c r="AK9" s="24"/>
      <c r="AL9" s="24"/>
      <c r="AM9" s="24"/>
      <c r="AN9" s="24"/>
      <c r="AO9" s="24"/>
      <c r="AP9" s="24"/>
    </row>
    <row r="10" spans="1:42" ht="15" customHeight="1">
      <c r="A10" s="413"/>
      <c r="B10" s="311"/>
      <c r="C10" s="255"/>
      <c r="D10" s="255"/>
      <c r="E10" s="257"/>
      <c r="F10" s="61"/>
      <c r="G10" s="382" t="s">
        <v>650</v>
      </c>
      <c r="H10" s="236"/>
      <c r="I10" s="292"/>
      <c r="J10" s="191"/>
      <c r="K10" s="382" t="s">
        <v>643</v>
      </c>
      <c r="L10" s="236"/>
      <c r="M10" s="292"/>
      <c r="N10" s="62"/>
      <c r="O10" s="390" t="s">
        <v>607</v>
      </c>
      <c r="P10" s="236"/>
      <c r="Q10" s="381"/>
      <c r="R10" s="255"/>
      <c r="S10" s="257"/>
      <c r="T10" s="381"/>
      <c r="U10" s="255"/>
      <c r="V10" s="257"/>
      <c r="W10" s="381"/>
      <c r="X10" s="255"/>
      <c r="Y10" s="350"/>
      <c r="Z10" s="24"/>
      <c r="AA10" s="24"/>
      <c r="AB10" s="24"/>
      <c r="AC10" s="24"/>
      <c r="AD10" s="24"/>
      <c r="AE10" s="24"/>
      <c r="AF10" s="24"/>
      <c r="AG10" s="24"/>
      <c r="AH10" s="24"/>
      <c r="AI10" s="24"/>
      <c r="AJ10" s="24"/>
      <c r="AK10" s="24"/>
      <c r="AL10" s="24"/>
      <c r="AM10" s="24"/>
      <c r="AN10" s="24"/>
      <c r="AO10" s="24"/>
      <c r="AP10" s="24"/>
    </row>
    <row r="11" spans="1:42" ht="15" customHeight="1">
      <c r="A11" s="252"/>
      <c r="B11" s="321"/>
      <c r="C11" s="234"/>
      <c r="D11" s="234"/>
      <c r="E11" s="258"/>
      <c r="F11" s="61"/>
      <c r="G11" s="383" t="s">
        <v>651</v>
      </c>
      <c r="H11" s="301"/>
      <c r="I11" s="384"/>
      <c r="J11" s="191"/>
      <c r="K11" s="383" t="s">
        <v>652</v>
      </c>
      <c r="L11" s="301"/>
      <c r="M11" s="384"/>
      <c r="N11" s="62"/>
      <c r="O11" s="385" t="s">
        <v>612</v>
      </c>
      <c r="P11" s="301"/>
      <c r="Q11" s="321"/>
      <c r="R11" s="234"/>
      <c r="S11" s="258"/>
      <c r="T11" s="321"/>
      <c r="U11" s="234"/>
      <c r="V11" s="258"/>
      <c r="W11" s="321"/>
      <c r="X11" s="234"/>
      <c r="Y11" s="248"/>
      <c r="Z11" s="24"/>
      <c r="AA11" s="24"/>
      <c r="AB11" s="24"/>
      <c r="AC11" s="24"/>
      <c r="AD11" s="24"/>
      <c r="AE11" s="24"/>
      <c r="AF11" s="24"/>
      <c r="AG11" s="24"/>
      <c r="AH11" s="24"/>
      <c r="AI11" s="24"/>
      <c r="AJ11" s="24"/>
      <c r="AK11" s="24"/>
      <c r="AL11" s="24"/>
      <c r="AM11" s="24"/>
      <c r="AN11" s="24"/>
      <c r="AO11" s="24"/>
      <c r="AP11" s="24"/>
    </row>
    <row r="12" spans="1:42" ht="15" customHeight="1">
      <c r="A12" s="280"/>
      <c r="B12" s="312"/>
      <c r="C12" s="262"/>
      <c r="D12" s="262"/>
      <c r="E12" s="296"/>
      <c r="F12" s="194"/>
      <c r="G12" s="379" t="s">
        <v>653</v>
      </c>
      <c r="H12" s="303"/>
      <c r="I12" s="304"/>
      <c r="J12" s="389"/>
      <c r="K12" s="303"/>
      <c r="L12" s="303"/>
      <c r="M12" s="304"/>
      <c r="N12" s="62"/>
      <c r="O12" s="385" t="s">
        <v>654</v>
      </c>
      <c r="P12" s="301"/>
      <c r="Q12" s="312"/>
      <c r="R12" s="262"/>
      <c r="S12" s="296"/>
      <c r="T12" s="312"/>
      <c r="U12" s="262"/>
      <c r="V12" s="296"/>
      <c r="W12" s="312"/>
      <c r="X12" s="262"/>
      <c r="Y12" s="371"/>
      <c r="Z12" s="24"/>
      <c r="AA12" s="24"/>
      <c r="AB12" s="24"/>
      <c r="AC12" s="24"/>
      <c r="AD12" s="24"/>
      <c r="AE12" s="24"/>
      <c r="AF12" s="24"/>
      <c r="AG12" s="24"/>
      <c r="AH12" s="24"/>
      <c r="AI12" s="24"/>
      <c r="AJ12" s="24"/>
      <c r="AK12" s="24"/>
      <c r="AL12" s="24"/>
      <c r="AM12" s="24"/>
      <c r="AN12" s="24"/>
      <c r="AO12" s="24"/>
      <c r="AP12" s="24"/>
    </row>
    <row r="13" spans="1:42" ht="15" customHeight="1">
      <c r="A13" s="413"/>
      <c r="B13" s="311"/>
      <c r="C13" s="255"/>
      <c r="D13" s="255"/>
      <c r="E13" s="257"/>
      <c r="F13" s="61"/>
      <c r="G13" s="382" t="s">
        <v>650</v>
      </c>
      <c r="H13" s="236"/>
      <c r="I13" s="292"/>
      <c r="J13" s="191"/>
      <c r="K13" s="382" t="s">
        <v>643</v>
      </c>
      <c r="L13" s="236"/>
      <c r="M13" s="292"/>
      <c r="N13" s="62"/>
      <c r="O13" s="390" t="s">
        <v>607</v>
      </c>
      <c r="P13" s="236"/>
      <c r="Q13" s="381"/>
      <c r="R13" s="255"/>
      <c r="S13" s="257"/>
      <c r="T13" s="381"/>
      <c r="U13" s="255"/>
      <c r="V13" s="257"/>
      <c r="W13" s="381"/>
      <c r="X13" s="255"/>
      <c r="Y13" s="350"/>
      <c r="Z13" s="24"/>
      <c r="AA13" s="24"/>
      <c r="AB13" s="24"/>
      <c r="AC13" s="24"/>
      <c r="AD13" s="24"/>
      <c r="AE13" s="24"/>
      <c r="AF13" s="24"/>
      <c r="AG13" s="24"/>
      <c r="AH13" s="24"/>
      <c r="AI13" s="24"/>
      <c r="AJ13" s="24"/>
      <c r="AK13" s="24"/>
      <c r="AL13" s="24"/>
      <c r="AM13" s="24"/>
      <c r="AN13" s="24"/>
      <c r="AO13" s="24"/>
      <c r="AP13" s="24"/>
    </row>
    <row r="14" spans="1:42" ht="15" customHeight="1">
      <c r="A14" s="252"/>
      <c r="B14" s="321"/>
      <c r="C14" s="234"/>
      <c r="D14" s="234"/>
      <c r="E14" s="258"/>
      <c r="F14" s="61"/>
      <c r="G14" s="383" t="s">
        <v>651</v>
      </c>
      <c r="H14" s="301"/>
      <c r="I14" s="384"/>
      <c r="J14" s="191"/>
      <c r="K14" s="383" t="s">
        <v>652</v>
      </c>
      <c r="L14" s="301"/>
      <c r="M14" s="384"/>
      <c r="N14" s="62"/>
      <c r="O14" s="385" t="s">
        <v>612</v>
      </c>
      <c r="P14" s="301"/>
      <c r="Q14" s="321"/>
      <c r="R14" s="234"/>
      <c r="S14" s="258"/>
      <c r="T14" s="321"/>
      <c r="U14" s="234"/>
      <c r="V14" s="258"/>
      <c r="W14" s="321"/>
      <c r="X14" s="234"/>
      <c r="Y14" s="248"/>
      <c r="Z14" s="24"/>
      <c r="AA14" s="24"/>
      <c r="AB14" s="24"/>
      <c r="AC14" s="24"/>
      <c r="AD14" s="24"/>
      <c r="AE14" s="24"/>
      <c r="AF14" s="24"/>
      <c r="AG14" s="24"/>
      <c r="AH14" s="24"/>
      <c r="AI14" s="24"/>
      <c r="AJ14" s="24"/>
      <c r="AK14" s="24"/>
      <c r="AL14" s="24"/>
      <c r="AM14" s="24"/>
      <c r="AN14" s="24"/>
      <c r="AO14" s="24"/>
      <c r="AP14" s="24"/>
    </row>
    <row r="15" spans="1:42" ht="15" customHeight="1">
      <c r="A15" s="280"/>
      <c r="B15" s="312"/>
      <c r="C15" s="262"/>
      <c r="D15" s="262"/>
      <c r="E15" s="296"/>
      <c r="F15" s="194"/>
      <c r="G15" s="379" t="s">
        <v>653</v>
      </c>
      <c r="H15" s="303"/>
      <c r="I15" s="304"/>
      <c r="J15" s="389"/>
      <c r="K15" s="303"/>
      <c r="L15" s="303"/>
      <c r="M15" s="304"/>
      <c r="N15" s="62"/>
      <c r="O15" s="385" t="s">
        <v>654</v>
      </c>
      <c r="P15" s="301"/>
      <c r="Q15" s="312"/>
      <c r="R15" s="262"/>
      <c r="S15" s="296"/>
      <c r="T15" s="312"/>
      <c r="U15" s="262"/>
      <c r="V15" s="296"/>
      <c r="W15" s="312"/>
      <c r="X15" s="262"/>
      <c r="Y15" s="371"/>
      <c r="Z15" s="24"/>
      <c r="AA15" s="24"/>
      <c r="AB15" s="24"/>
      <c r="AC15" s="24"/>
      <c r="AD15" s="24"/>
      <c r="AE15" s="24"/>
      <c r="AF15" s="24"/>
      <c r="AG15" s="24"/>
      <c r="AH15" s="24"/>
      <c r="AI15" s="24"/>
      <c r="AJ15" s="24"/>
      <c r="AK15" s="24"/>
      <c r="AL15" s="24"/>
      <c r="AM15" s="24"/>
      <c r="AN15" s="24"/>
      <c r="AO15" s="24"/>
      <c r="AP15" s="24"/>
    </row>
    <row r="16" spans="1:42" ht="15" customHeight="1">
      <c r="A16" s="413"/>
      <c r="B16" s="311"/>
      <c r="C16" s="255"/>
      <c r="D16" s="255"/>
      <c r="E16" s="257"/>
      <c r="F16" s="61"/>
      <c r="G16" s="382" t="s">
        <v>650</v>
      </c>
      <c r="H16" s="236"/>
      <c r="I16" s="292"/>
      <c r="J16" s="191"/>
      <c r="K16" s="382" t="s">
        <v>643</v>
      </c>
      <c r="L16" s="236"/>
      <c r="M16" s="292"/>
      <c r="N16" s="62"/>
      <c r="O16" s="390" t="s">
        <v>607</v>
      </c>
      <c r="P16" s="236"/>
      <c r="Q16" s="381"/>
      <c r="R16" s="255"/>
      <c r="S16" s="257"/>
      <c r="T16" s="381"/>
      <c r="U16" s="255"/>
      <c r="V16" s="257"/>
      <c r="W16" s="381"/>
      <c r="X16" s="255"/>
      <c r="Y16" s="350"/>
      <c r="Z16" s="24"/>
      <c r="AA16" s="24"/>
      <c r="AB16" s="24"/>
      <c r="AC16" s="24"/>
      <c r="AD16" s="24"/>
      <c r="AE16" s="24"/>
      <c r="AF16" s="24"/>
      <c r="AG16" s="24"/>
      <c r="AH16" s="24"/>
      <c r="AI16" s="24"/>
      <c r="AJ16" s="24"/>
      <c r="AK16" s="24"/>
      <c r="AL16" s="24"/>
      <c r="AM16" s="24"/>
      <c r="AN16" s="24"/>
      <c r="AO16" s="24"/>
      <c r="AP16" s="24"/>
    </row>
    <row r="17" spans="1:25" ht="15" customHeight="1">
      <c r="A17" s="252"/>
      <c r="B17" s="321"/>
      <c r="C17" s="234"/>
      <c r="D17" s="234"/>
      <c r="E17" s="258"/>
      <c r="F17" s="61"/>
      <c r="G17" s="383" t="s">
        <v>651</v>
      </c>
      <c r="H17" s="301"/>
      <c r="I17" s="384"/>
      <c r="J17" s="191"/>
      <c r="K17" s="383" t="s">
        <v>652</v>
      </c>
      <c r="L17" s="301"/>
      <c r="M17" s="384"/>
      <c r="N17" s="62"/>
      <c r="O17" s="385" t="s">
        <v>612</v>
      </c>
      <c r="P17" s="301"/>
      <c r="Q17" s="321"/>
      <c r="R17" s="234"/>
      <c r="S17" s="258"/>
      <c r="T17" s="321"/>
      <c r="U17" s="234"/>
      <c r="V17" s="258"/>
      <c r="W17" s="321"/>
      <c r="X17" s="234"/>
      <c r="Y17" s="248"/>
    </row>
    <row r="18" spans="1:25" ht="15" customHeight="1">
      <c r="A18" s="280"/>
      <c r="B18" s="312"/>
      <c r="C18" s="262"/>
      <c r="D18" s="262"/>
      <c r="E18" s="296"/>
      <c r="F18" s="194"/>
      <c r="G18" s="379" t="s">
        <v>653</v>
      </c>
      <c r="H18" s="303"/>
      <c r="I18" s="304"/>
      <c r="J18" s="389"/>
      <c r="K18" s="303"/>
      <c r="L18" s="303"/>
      <c r="M18" s="304"/>
      <c r="N18" s="62"/>
      <c r="O18" s="385" t="s">
        <v>654</v>
      </c>
      <c r="P18" s="301"/>
      <c r="Q18" s="312"/>
      <c r="R18" s="262"/>
      <c r="S18" s="296"/>
      <c r="T18" s="312"/>
      <c r="U18" s="262"/>
      <c r="V18" s="296"/>
      <c r="W18" s="312"/>
      <c r="X18" s="262"/>
      <c r="Y18" s="371"/>
    </row>
    <row r="19" spans="1:25" ht="15" customHeight="1">
      <c r="A19" s="413"/>
      <c r="B19" s="311"/>
      <c r="C19" s="255"/>
      <c r="D19" s="255"/>
      <c r="E19" s="257"/>
      <c r="F19" s="61"/>
      <c r="G19" s="382" t="s">
        <v>650</v>
      </c>
      <c r="H19" s="236"/>
      <c r="I19" s="292"/>
      <c r="J19" s="191"/>
      <c r="K19" s="382" t="s">
        <v>643</v>
      </c>
      <c r="L19" s="236"/>
      <c r="M19" s="292"/>
      <c r="N19" s="62"/>
      <c r="O19" s="390" t="s">
        <v>607</v>
      </c>
      <c r="P19" s="236"/>
      <c r="Q19" s="381"/>
      <c r="R19" s="255"/>
      <c r="S19" s="257"/>
      <c r="T19" s="381"/>
      <c r="U19" s="255"/>
      <c r="V19" s="257"/>
      <c r="W19" s="381"/>
      <c r="X19" s="255"/>
      <c r="Y19" s="350"/>
    </row>
    <row r="20" spans="1:25" ht="15" customHeight="1">
      <c r="A20" s="252"/>
      <c r="B20" s="321"/>
      <c r="C20" s="234"/>
      <c r="D20" s="234"/>
      <c r="E20" s="258"/>
      <c r="F20" s="61"/>
      <c r="G20" s="383" t="s">
        <v>651</v>
      </c>
      <c r="H20" s="301"/>
      <c r="I20" s="384"/>
      <c r="J20" s="191"/>
      <c r="K20" s="383" t="s">
        <v>652</v>
      </c>
      <c r="L20" s="301"/>
      <c r="M20" s="384"/>
      <c r="N20" s="62"/>
      <c r="O20" s="385" t="s">
        <v>612</v>
      </c>
      <c r="P20" s="301"/>
      <c r="Q20" s="321"/>
      <c r="R20" s="234"/>
      <c r="S20" s="258"/>
      <c r="T20" s="321"/>
      <c r="U20" s="234"/>
      <c r="V20" s="258"/>
      <c r="W20" s="321"/>
      <c r="X20" s="234"/>
      <c r="Y20" s="248"/>
    </row>
    <row r="21" spans="1:25" ht="15" customHeight="1">
      <c r="A21" s="280"/>
      <c r="B21" s="312"/>
      <c r="C21" s="262"/>
      <c r="D21" s="262"/>
      <c r="E21" s="296"/>
      <c r="F21" s="194"/>
      <c r="G21" s="379" t="s">
        <v>653</v>
      </c>
      <c r="H21" s="303"/>
      <c r="I21" s="304"/>
      <c r="J21" s="389"/>
      <c r="K21" s="303"/>
      <c r="L21" s="303"/>
      <c r="M21" s="304"/>
      <c r="N21" s="62"/>
      <c r="O21" s="385" t="s">
        <v>654</v>
      </c>
      <c r="P21" s="301"/>
      <c r="Q21" s="312"/>
      <c r="R21" s="262"/>
      <c r="S21" s="296"/>
      <c r="T21" s="312"/>
      <c r="U21" s="262"/>
      <c r="V21" s="296"/>
      <c r="W21" s="312"/>
      <c r="X21" s="262"/>
      <c r="Y21" s="371"/>
    </row>
    <row r="22" spans="1:25" ht="15" customHeight="1">
      <c r="A22" s="413"/>
      <c r="B22" s="311"/>
      <c r="C22" s="255"/>
      <c r="D22" s="255"/>
      <c r="E22" s="257"/>
      <c r="F22" s="61"/>
      <c r="G22" s="382" t="s">
        <v>650</v>
      </c>
      <c r="H22" s="236"/>
      <c r="I22" s="292"/>
      <c r="J22" s="191"/>
      <c r="K22" s="382" t="s">
        <v>643</v>
      </c>
      <c r="L22" s="236"/>
      <c r="M22" s="292"/>
      <c r="N22" s="62"/>
      <c r="O22" s="390" t="s">
        <v>607</v>
      </c>
      <c r="P22" s="236"/>
      <c r="Q22" s="381"/>
      <c r="R22" s="255"/>
      <c r="S22" s="257"/>
      <c r="T22" s="381"/>
      <c r="U22" s="255"/>
      <c r="V22" s="257"/>
      <c r="W22" s="381"/>
      <c r="X22" s="255"/>
      <c r="Y22" s="350"/>
    </row>
    <row r="23" spans="1:25" ht="15" customHeight="1">
      <c r="A23" s="252"/>
      <c r="B23" s="321"/>
      <c r="C23" s="234"/>
      <c r="D23" s="234"/>
      <c r="E23" s="258"/>
      <c r="F23" s="61"/>
      <c r="G23" s="383" t="s">
        <v>651</v>
      </c>
      <c r="H23" s="301"/>
      <c r="I23" s="384"/>
      <c r="J23" s="191"/>
      <c r="K23" s="383" t="s">
        <v>652</v>
      </c>
      <c r="L23" s="301"/>
      <c r="M23" s="384"/>
      <c r="N23" s="62"/>
      <c r="O23" s="385" t="s">
        <v>612</v>
      </c>
      <c r="P23" s="301"/>
      <c r="Q23" s="321"/>
      <c r="R23" s="234"/>
      <c r="S23" s="258"/>
      <c r="T23" s="321"/>
      <c r="U23" s="234"/>
      <c r="V23" s="258"/>
      <c r="W23" s="321"/>
      <c r="X23" s="234"/>
      <c r="Y23" s="248"/>
    </row>
    <row r="24" spans="1:25" ht="15" customHeight="1">
      <c r="A24" s="280"/>
      <c r="B24" s="312"/>
      <c r="C24" s="262"/>
      <c r="D24" s="262"/>
      <c r="E24" s="296"/>
      <c r="F24" s="194"/>
      <c r="G24" s="379" t="s">
        <v>653</v>
      </c>
      <c r="H24" s="303"/>
      <c r="I24" s="304"/>
      <c r="J24" s="389"/>
      <c r="K24" s="303"/>
      <c r="L24" s="303"/>
      <c r="M24" s="304"/>
      <c r="N24" s="62"/>
      <c r="O24" s="385" t="s">
        <v>654</v>
      </c>
      <c r="P24" s="301"/>
      <c r="Q24" s="312"/>
      <c r="R24" s="262"/>
      <c r="S24" s="296"/>
      <c r="T24" s="312"/>
      <c r="U24" s="262"/>
      <c r="V24" s="296"/>
      <c r="W24" s="312"/>
      <c r="X24" s="262"/>
      <c r="Y24" s="371"/>
    </row>
    <row r="25" spans="1:25" ht="15" customHeight="1">
      <c r="A25" s="413"/>
      <c r="B25" s="311"/>
      <c r="C25" s="255"/>
      <c r="D25" s="255"/>
      <c r="E25" s="257"/>
      <c r="F25" s="61"/>
      <c r="G25" s="382" t="s">
        <v>650</v>
      </c>
      <c r="H25" s="236"/>
      <c r="I25" s="292"/>
      <c r="J25" s="191"/>
      <c r="K25" s="382" t="s">
        <v>643</v>
      </c>
      <c r="L25" s="236"/>
      <c r="M25" s="292"/>
      <c r="N25" s="62"/>
      <c r="O25" s="390" t="s">
        <v>607</v>
      </c>
      <c r="P25" s="236"/>
      <c r="Q25" s="381"/>
      <c r="R25" s="255"/>
      <c r="S25" s="257"/>
      <c r="T25" s="381"/>
      <c r="U25" s="255"/>
      <c r="V25" s="257"/>
      <c r="W25" s="381"/>
      <c r="X25" s="255"/>
      <c r="Y25" s="350"/>
    </row>
    <row r="26" spans="1:25" ht="15" customHeight="1">
      <c r="A26" s="252"/>
      <c r="B26" s="321"/>
      <c r="C26" s="234"/>
      <c r="D26" s="234"/>
      <c r="E26" s="258"/>
      <c r="F26" s="61"/>
      <c r="G26" s="383" t="s">
        <v>651</v>
      </c>
      <c r="H26" s="301"/>
      <c r="I26" s="384"/>
      <c r="J26" s="191"/>
      <c r="K26" s="383" t="s">
        <v>652</v>
      </c>
      <c r="L26" s="301"/>
      <c r="M26" s="384"/>
      <c r="N26" s="62"/>
      <c r="O26" s="385" t="s">
        <v>612</v>
      </c>
      <c r="P26" s="301"/>
      <c r="Q26" s="321"/>
      <c r="R26" s="234"/>
      <c r="S26" s="258"/>
      <c r="T26" s="321"/>
      <c r="U26" s="234"/>
      <c r="V26" s="258"/>
      <c r="W26" s="321"/>
      <c r="X26" s="234"/>
      <c r="Y26" s="248"/>
    </row>
    <row r="27" spans="1:25" ht="15" customHeight="1">
      <c r="A27" s="280"/>
      <c r="B27" s="312"/>
      <c r="C27" s="262"/>
      <c r="D27" s="262"/>
      <c r="E27" s="296"/>
      <c r="F27" s="194"/>
      <c r="G27" s="379" t="s">
        <v>653</v>
      </c>
      <c r="H27" s="303"/>
      <c r="I27" s="304"/>
      <c r="J27" s="389"/>
      <c r="K27" s="303"/>
      <c r="L27" s="303"/>
      <c r="M27" s="304"/>
      <c r="N27" s="62"/>
      <c r="O27" s="385" t="s">
        <v>654</v>
      </c>
      <c r="P27" s="301"/>
      <c r="Q27" s="312"/>
      <c r="R27" s="262"/>
      <c r="S27" s="296"/>
      <c r="T27" s="312"/>
      <c r="U27" s="262"/>
      <c r="V27" s="296"/>
      <c r="W27" s="312"/>
      <c r="X27" s="262"/>
      <c r="Y27" s="371"/>
    </row>
    <row r="28" spans="1:25" ht="15" customHeight="1">
      <c r="A28" s="413"/>
      <c r="B28" s="311"/>
      <c r="C28" s="255"/>
      <c r="D28" s="255"/>
      <c r="E28" s="257"/>
      <c r="F28" s="61"/>
      <c r="G28" s="382" t="s">
        <v>650</v>
      </c>
      <c r="H28" s="236"/>
      <c r="I28" s="292"/>
      <c r="J28" s="191"/>
      <c r="K28" s="382" t="s">
        <v>643</v>
      </c>
      <c r="L28" s="236"/>
      <c r="M28" s="292"/>
      <c r="N28" s="62"/>
      <c r="O28" s="390" t="s">
        <v>607</v>
      </c>
      <c r="P28" s="236"/>
      <c r="Q28" s="381"/>
      <c r="R28" s="255"/>
      <c r="S28" s="257"/>
      <c r="T28" s="381"/>
      <c r="U28" s="255"/>
      <c r="V28" s="257"/>
      <c r="W28" s="381"/>
      <c r="X28" s="255"/>
      <c r="Y28" s="350"/>
    </row>
    <row r="29" spans="1:25" ht="15" customHeight="1">
      <c r="A29" s="252"/>
      <c r="B29" s="321"/>
      <c r="C29" s="234"/>
      <c r="D29" s="234"/>
      <c r="E29" s="258"/>
      <c r="F29" s="61"/>
      <c r="G29" s="383" t="s">
        <v>651</v>
      </c>
      <c r="H29" s="301"/>
      <c r="I29" s="384"/>
      <c r="J29" s="191"/>
      <c r="K29" s="383" t="s">
        <v>652</v>
      </c>
      <c r="L29" s="301"/>
      <c r="M29" s="384"/>
      <c r="N29" s="62"/>
      <c r="O29" s="385" t="s">
        <v>612</v>
      </c>
      <c r="P29" s="301"/>
      <c r="Q29" s="321"/>
      <c r="R29" s="234"/>
      <c r="S29" s="258"/>
      <c r="T29" s="321"/>
      <c r="U29" s="234"/>
      <c r="V29" s="258"/>
      <c r="W29" s="321"/>
      <c r="X29" s="234"/>
      <c r="Y29" s="248"/>
    </row>
    <row r="30" spans="1:25" ht="15" customHeight="1">
      <c r="A30" s="280"/>
      <c r="B30" s="312"/>
      <c r="C30" s="262"/>
      <c r="D30" s="262"/>
      <c r="E30" s="296"/>
      <c r="F30" s="194"/>
      <c r="G30" s="379" t="s">
        <v>653</v>
      </c>
      <c r="H30" s="303"/>
      <c r="I30" s="304"/>
      <c r="J30" s="389"/>
      <c r="K30" s="303"/>
      <c r="L30" s="303"/>
      <c r="M30" s="304"/>
      <c r="N30" s="62"/>
      <c r="O30" s="385" t="s">
        <v>654</v>
      </c>
      <c r="P30" s="301"/>
      <c r="Q30" s="312"/>
      <c r="R30" s="262"/>
      <c r="S30" s="296"/>
      <c r="T30" s="312"/>
      <c r="U30" s="262"/>
      <c r="V30" s="296"/>
      <c r="W30" s="312"/>
      <c r="X30" s="262"/>
      <c r="Y30" s="371"/>
    </row>
    <row r="31" spans="1:25" ht="15" customHeight="1">
      <c r="A31" s="413"/>
      <c r="B31" s="311"/>
      <c r="C31" s="255"/>
      <c r="D31" s="255"/>
      <c r="E31" s="257"/>
      <c r="F31" s="61"/>
      <c r="G31" s="382" t="s">
        <v>650</v>
      </c>
      <c r="H31" s="236"/>
      <c r="I31" s="292"/>
      <c r="J31" s="191"/>
      <c r="K31" s="382" t="s">
        <v>643</v>
      </c>
      <c r="L31" s="236"/>
      <c r="M31" s="292"/>
      <c r="N31" s="62"/>
      <c r="O31" s="390" t="s">
        <v>607</v>
      </c>
      <c r="P31" s="236"/>
      <c r="Q31" s="381"/>
      <c r="R31" s="255"/>
      <c r="S31" s="257"/>
      <c r="T31" s="381"/>
      <c r="U31" s="255"/>
      <c r="V31" s="257"/>
      <c r="W31" s="381"/>
      <c r="X31" s="255"/>
      <c r="Y31" s="350"/>
    </row>
    <row r="32" spans="1:25" ht="15" customHeight="1">
      <c r="A32" s="252"/>
      <c r="B32" s="321"/>
      <c r="C32" s="234"/>
      <c r="D32" s="234"/>
      <c r="E32" s="258"/>
      <c r="F32" s="61"/>
      <c r="G32" s="383" t="s">
        <v>651</v>
      </c>
      <c r="H32" s="301"/>
      <c r="I32" s="384"/>
      <c r="J32" s="191"/>
      <c r="K32" s="383" t="s">
        <v>652</v>
      </c>
      <c r="L32" s="301"/>
      <c r="M32" s="384"/>
      <c r="N32" s="62"/>
      <c r="O32" s="385" t="s">
        <v>612</v>
      </c>
      <c r="P32" s="301"/>
      <c r="Q32" s="321"/>
      <c r="R32" s="234"/>
      <c r="S32" s="258"/>
      <c r="T32" s="321"/>
      <c r="U32" s="234"/>
      <c r="V32" s="258"/>
      <c r="W32" s="321"/>
      <c r="X32" s="234"/>
      <c r="Y32" s="248"/>
    </row>
    <row r="33" spans="1:30" ht="15" customHeight="1">
      <c r="A33" s="280"/>
      <c r="B33" s="312"/>
      <c r="C33" s="262"/>
      <c r="D33" s="262"/>
      <c r="E33" s="296"/>
      <c r="F33" s="194"/>
      <c r="G33" s="379" t="s">
        <v>653</v>
      </c>
      <c r="H33" s="303"/>
      <c r="I33" s="304"/>
      <c r="J33" s="389"/>
      <c r="K33" s="303"/>
      <c r="L33" s="303"/>
      <c r="M33" s="304"/>
      <c r="N33" s="62"/>
      <c r="O33" s="385" t="s">
        <v>654</v>
      </c>
      <c r="P33" s="301"/>
      <c r="Q33" s="312"/>
      <c r="R33" s="262"/>
      <c r="S33" s="296"/>
      <c r="T33" s="312"/>
      <c r="U33" s="262"/>
      <c r="V33" s="296"/>
      <c r="W33" s="312"/>
      <c r="X33" s="262"/>
      <c r="Y33" s="371"/>
      <c r="Z33" s="24"/>
      <c r="AA33" s="24"/>
      <c r="AB33" s="24"/>
      <c r="AC33" s="24"/>
      <c r="AD33" s="24"/>
    </row>
    <row r="34" spans="1:30" ht="15" customHeight="1">
      <c r="A34" s="413"/>
      <c r="B34" s="311"/>
      <c r="C34" s="255"/>
      <c r="D34" s="255"/>
      <c r="E34" s="257"/>
      <c r="F34" s="61"/>
      <c r="G34" s="382" t="s">
        <v>650</v>
      </c>
      <c r="H34" s="236"/>
      <c r="I34" s="292"/>
      <c r="J34" s="191"/>
      <c r="K34" s="382" t="s">
        <v>643</v>
      </c>
      <c r="L34" s="236"/>
      <c r="M34" s="292"/>
      <c r="N34" s="62"/>
      <c r="O34" s="390" t="s">
        <v>607</v>
      </c>
      <c r="P34" s="236"/>
      <c r="Q34" s="381"/>
      <c r="R34" s="255"/>
      <c r="S34" s="257"/>
      <c r="T34" s="381"/>
      <c r="U34" s="255"/>
      <c r="V34" s="257"/>
      <c r="W34" s="381"/>
      <c r="X34" s="255"/>
      <c r="Y34" s="350"/>
      <c r="Z34" s="24"/>
      <c r="AA34" s="24"/>
      <c r="AB34" s="24"/>
      <c r="AC34" s="24"/>
      <c r="AD34" s="24"/>
    </row>
    <row r="35" spans="1:30" ht="15" customHeight="1">
      <c r="A35" s="252"/>
      <c r="B35" s="321"/>
      <c r="C35" s="234"/>
      <c r="D35" s="234"/>
      <c r="E35" s="258"/>
      <c r="F35" s="61"/>
      <c r="G35" s="383" t="s">
        <v>651</v>
      </c>
      <c r="H35" s="301"/>
      <c r="I35" s="384"/>
      <c r="J35" s="191"/>
      <c r="K35" s="383" t="s">
        <v>652</v>
      </c>
      <c r="L35" s="301"/>
      <c r="M35" s="384"/>
      <c r="N35" s="62"/>
      <c r="O35" s="385" t="s">
        <v>612</v>
      </c>
      <c r="P35" s="301"/>
      <c r="Q35" s="321"/>
      <c r="R35" s="234"/>
      <c r="S35" s="258"/>
      <c r="T35" s="321"/>
      <c r="U35" s="234"/>
      <c r="V35" s="258"/>
      <c r="W35" s="321"/>
      <c r="X35" s="234"/>
      <c r="Y35" s="248"/>
      <c r="Z35" s="24"/>
      <c r="AA35" s="24"/>
      <c r="AB35" s="24"/>
      <c r="AC35" s="24"/>
      <c r="AD35" s="24"/>
    </row>
    <row r="36" spans="1:30" ht="15" customHeight="1">
      <c r="A36" s="280"/>
      <c r="B36" s="312"/>
      <c r="C36" s="262"/>
      <c r="D36" s="262"/>
      <c r="E36" s="296"/>
      <c r="F36" s="194"/>
      <c r="G36" s="379" t="s">
        <v>653</v>
      </c>
      <c r="H36" s="303"/>
      <c r="I36" s="304"/>
      <c r="J36" s="389"/>
      <c r="K36" s="303"/>
      <c r="L36" s="303"/>
      <c r="M36" s="304"/>
      <c r="N36" s="62"/>
      <c r="O36" s="386" t="s">
        <v>654</v>
      </c>
      <c r="P36" s="303"/>
      <c r="Q36" s="312"/>
      <c r="R36" s="262"/>
      <c r="S36" s="296"/>
      <c r="T36" s="312"/>
      <c r="U36" s="262"/>
      <c r="V36" s="296"/>
      <c r="W36" s="312"/>
      <c r="X36" s="262"/>
      <c r="Y36" s="371"/>
      <c r="Z36" s="24"/>
      <c r="AA36" s="24"/>
      <c r="AB36" s="24"/>
      <c r="AC36" s="24"/>
      <c r="AD36" s="24"/>
    </row>
    <row r="37" spans="1:30" ht="19.5" customHeight="1">
      <c r="A37" s="412" t="s">
        <v>625</v>
      </c>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40"/>
      <c r="Z37" s="225"/>
      <c r="AA37" s="225"/>
      <c r="AB37" s="225"/>
      <c r="AC37" s="225"/>
      <c r="AD37" s="225"/>
    </row>
    <row r="38" spans="1:30" ht="14.25" customHeight="1">
      <c r="A38" s="173" t="s">
        <v>139</v>
      </c>
      <c r="B38" s="376" t="s">
        <v>157</v>
      </c>
      <c r="C38" s="239"/>
      <c r="D38" s="239"/>
      <c r="E38" s="239"/>
      <c r="F38" s="239"/>
      <c r="G38" s="239"/>
      <c r="H38" s="239"/>
      <c r="I38" s="239"/>
      <c r="J38" s="239"/>
      <c r="K38" s="239"/>
      <c r="L38" s="243"/>
      <c r="M38" s="376" t="s">
        <v>655</v>
      </c>
      <c r="N38" s="239"/>
      <c r="O38" s="239"/>
      <c r="P38" s="239"/>
      <c r="Q38" s="239"/>
      <c r="R38" s="239"/>
      <c r="S38" s="239"/>
      <c r="T38" s="243"/>
      <c r="U38" s="376" t="s">
        <v>68</v>
      </c>
      <c r="V38" s="239"/>
      <c r="W38" s="239"/>
      <c r="X38" s="239"/>
      <c r="Y38" s="240"/>
      <c r="Z38" s="226"/>
      <c r="AA38" s="226"/>
      <c r="AB38" s="226"/>
      <c r="AC38" s="226"/>
      <c r="AD38" s="226"/>
    </row>
    <row r="39" spans="1:30" ht="14.25" customHeight="1">
      <c r="A39" s="177">
        <v>1</v>
      </c>
      <c r="B39" s="317" t="s">
        <v>161</v>
      </c>
      <c r="C39" s="239"/>
      <c r="D39" s="239"/>
      <c r="E39" s="239"/>
      <c r="F39" s="239"/>
      <c r="G39" s="239"/>
      <c r="H39" s="239"/>
      <c r="I39" s="239"/>
      <c r="J39" s="239"/>
      <c r="K39" s="239"/>
      <c r="L39" s="243"/>
      <c r="M39" s="285" t="s">
        <v>628</v>
      </c>
      <c r="N39" s="239"/>
      <c r="O39" s="239"/>
      <c r="P39" s="239"/>
      <c r="Q39" s="239"/>
      <c r="R39" s="239"/>
      <c r="S39" s="239"/>
      <c r="T39" s="243"/>
      <c r="U39" s="411"/>
      <c r="V39" s="239"/>
      <c r="W39" s="239"/>
      <c r="X39" s="239"/>
      <c r="Y39" s="240"/>
      <c r="Z39" s="19"/>
      <c r="AA39" s="19"/>
      <c r="AB39" s="19"/>
      <c r="AC39" s="19"/>
      <c r="AD39" s="19"/>
    </row>
    <row r="40" spans="1:30" ht="14.25" customHeight="1">
      <c r="A40" s="177">
        <v>2</v>
      </c>
      <c r="B40" s="317" t="s">
        <v>165</v>
      </c>
      <c r="C40" s="239"/>
      <c r="D40" s="239"/>
      <c r="E40" s="239"/>
      <c r="F40" s="239"/>
      <c r="G40" s="239"/>
      <c r="H40" s="239"/>
      <c r="I40" s="239"/>
      <c r="J40" s="239"/>
      <c r="K40" s="239"/>
      <c r="L40" s="243"/>
      <c r="M40" s="285"/>
      <c r="N40" s="239"/>
      <c r="O40" s="239"/>
      <c r="P40" s="239"/>
      <c r="Q40" s="239"/>
      <c r="R40" s="239"/>
      <c r="S40" s="239"/>
      <c r="T40" s="243"/>
      <c r="U40" s="411"/>
      <c r="V40" s="239"/>
      <c r="W40" s="239"/>
      <c r="X40" s="239"/>
      <c r="Y40" s="240"/>
      <c r="Z40" s="19"/>
      <c r="AA40" s="19"/>
      <c r="AB40" s="19"/>
      <c r="AC40" s="19"/>
      <c r="AD40" s="19"/>
    </row>
    <row r="41" spans="1:30" ht="45" customHeight="1">
      <c r="A41" s="177">
        <v>3</v>
      </c>
      <c r="B41" s="317" t="s">
        <v>656</v>
      </c>
      <c r="C41" s="239"/>
      <c r="D41" s="239"/>
      <c r="E41" s="239"/>
      <c r="F41" s="239"/>
      <c r="G41" s="239"/>
      <c r="H41" s="239"/>
      <c r="I41" s="239"/>
      <c r="J41" s="239"/>
      <c r="K41" s="239"/>
      <c r="L41" s="243"/>
      <c r="M41" s="285" t="s">
        <v>657</v>
      </c>
      <c r="N41" s="239"/>
      <c r="O41" s="239"/>
      <c r="P41" s="239"/>
      <c r="Q41" s="239"/>
      <c r="R41" s="239"/>
      <c r="S41" s="239"/>
      <c r="T41" s="243"/>
      <c r="U41" s="411"/>
      <c r="V41" s="239"/>
      <c r="W41" s="239"/>
      <c r="X41" s="239"/>
      <c r="Y41" s="240"/>
      <c r="Z41" s="19"/>
      <c r="AA41" s="19"/>
      <c r="AB41" s="19"/>
      <c r="AC41" s="19"/>
      <c r="AD41" s="19"/>
    </row>
    <row r="42" spans="1:30" ht="19.5" customHeight="1">
      <c r="A42" s="431" t="s">
        <v>658</v>
      </c>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7"/>
      <c r="Z42" s="197"/>
      <c r="AA42" s="197"/>
      <c r="AB42" s="197"/>
      <c r="AC42" s="197"/>
      <c r="AD42" s="197"/>
    </row>
    <row r="43" spans="1:30" ht="14.25" customHeight="1">
      <c r="A43" s="416" t="s">
        <v>139</v>
      </c>
      <c r="B43" s="278" t="s">
        <v>659</v>
      </c>
      <c r="C43" s="239"/>
      <c r="D43" s="239"/>
      <c r="E43" s="243"/>
      <c r="F43" s="278" t="s">
        <v>647</v>
      </c>
      <c r="G43" s="239"/>
      <c r="H43" s="239"/>
      <c r="I43" s="239"/>
      <c r="J43" s="239"/>
      <c r="K43" s="239"/>
      <c r="L43" s="239"/>
      <c r="M43" s="239"/>
      <c r="N43" s="239"/>
      <c r="O43" s="239"/>
      <c r="P43" s="239"/>
      <c r="Q43" s="239"/>
      <c r="R43" s="239"/>
      <c r="S43" s="239"/>
      <c r="T43" s="417" t="s">
        <v>660</v>
      </c>
      <c r="U43" s="255"/>
      <c r="V43" s="255"/>
      <c r="W43" s="255"/>
      <c r="X43" s="257"/>
      <c r="Y43" s="426" t="s">
        <v>661</v>
      </c>
      <c r="Z43" s="227"/>
      <c r="AA43" s="427"/>
      <c r="AB43" s="234"/>
      <c r="AC43" s="427"/>
      <c r="AD43" s="234"/>
    </row>
    <row r="44" spans="1:30" ht="78" customHeight="1">
      <c r="A44" s="280"/>
      <c r="B44" s="428" t="s">
        <v>635</v>
      </c>
      <c r="C44" s="243"/>
      <c r="D44" s="428" t="s">
        <v>662</v>
      </c>
      <c r="E44" s="243"/>
      <c r="F44" s="428" t="s">
        <v>637</v>
      </c>
      <c r="G44" s="239"/>
      <c r="H44" s="239"/>
      <c r="I44" s="243"/>
      <c r="J44" s="429" t="s">
        <v>663</v>
      </c>
      <c r="K44" s="236"/>
      <c r="L44" s="236"/>
      <c r="M44" s="292"/>
      <c r="N44" s="428" t="s">
        <v>639</v>
      </c>
      <c r="O44" s="239"/>
      <c r="P44" s="243"/>
      <c r="Q44" s="430" t="s">
        <v>172</v>
      </c>
      <c r="R44" s="255"/>
      <c r="S44" s="257"/>
      <c r="T44" s="312"/>
      <c r="U44" s="262"/>
      <c r="V44" s="262"/>
      <c r="W44" s="262"/>
      <c r="X44" s="296"/>
      <c r="Y44" s="422"/>
      <c r="Z44" s="227"/>
      <c r="AA44" s="234"/>
      <c r="AB44" s="234"/>
      <c r="AC44" s="234"/>
      <c r="AD44" s="234"/>
    </row>
    <row r="45" spans="1:30" ht="12" customHeight="1">
      <c r="A45" s="413"/>
      <c r="B45" s="381"/>
      <c r="C45" s="255"/>
      <c r="D45" s="381"/>
      <c r="E45" s="255"/>
      <c r="F45" s="61"/>
      <c r="G45" s="382" t="s">
        <v>606</v>
      </c>
      <c r="H45" s="236"/>
      <c r="I45" s="292"/>
      <c r="J45" s="61"/>
      <c r="K45" s="382" t="s">
        <v>606</v>
      </c>
      <c r="L45" s="236"/>
      <c r="M45" s="292"/>
      <c r="N45" s="70"/>
      <c r="O45" s="390" t="s">
        <v>642</v>
      </c>
      <c r="P45" s="292"/>
      <c r="Q45" s="62"/>
      <c r="R45" s="390" t="s">
        <v>607</v>
      </c>
      <c r="S45" s="236"/>
      <c r="T45" s="391"/>
      <c r="U45" s="255"/>
      <c r="V45" s="255"/>
      <c r="W45" s="255"/>
      <c r="X45" s="257"/>
      <c r="Y45" s="420" t="s">
        <v>657</v>
      </c>
      <c r="Z45" s="213"/>
      <c r="AA45" s="385"/>
      <c r="AB45" s="301"/>
      <c r="AC45" s="301"/>
      <c r="AD45" s="301"/>
    </row>
    <row r="46" spans="1:30" ht="12" customHeight="1">
      <c r="A46" s="252"/>
      <c r="B46" s="321"/>
      <c r="C46" s="234"/>
      <c r="D46" s="321"/>
      <c r="E46" s="234"/>
      <c r="F46" s="61"/>
      <c r="G46" s="383" t="s">
        <v>611</v>
      </c>
      <c r="H46" s="301"/>
      <c r="I46" s="384"/>
      <c r="J46" s="61"/>
      <c r="K46" s="383" t="s">
        <v>611</v>
      </c>
      <c r="L46" s="301"/>
      <c r="M46" s="384"/>
      <c r="N46" s="70"/>
      <c r="O46" s="385" t="s">
        <v>614</v>
      </c>
      <c r="P46" s="384"/>
      <c r="Q46" s="62"/>
      <c r="R46" s="385" t="s">
        <v>612</v>
      </c>
      <c r="S46" s="301"/>
      <c r="T46" s="321"/>
      <c r="U46" s="234"/>
      <c r="V46" s="234"/>
      <c r="W46" s="234"/>
      <c r="X46" s="258"/>
      <c r="Y46" s="421"/>
      <c r="Z46" s="213"/>
      <c r="AA46" s="233"/>
      <c r="AB46" s="234"/>
      <c r="AC46" s="234"/>
      <c r="AD46" s="234"/>
    </row>
    <row r="47" spans="1:30" ht="12" customHeight="1">
      <c r="A47" s="280"/>
      <c r="B47" s="312"/>
      <c r="C47" s="262"/>
      <c r="D47" s="312"/>
      <c r="E47" s="262"/>
      <c r="F47" s="194"/>
      <c r="G47" s="379" t="s">
        <v>612</v>
      </c>
      <c r="H47" s="303"/>
      <c r="I47" s="304"/>
      <c r="J47" s="194"/>
      <c r="K47" s="379" t="s">
        <v>612</v>
      </c>
      <c r="L47" s="303"/>
      <c r="M47" s="304"/>
      <c r="N47" s="218"/>
      <c r="O47" s="219"/>
      <c r="P47" s="220"/>
      <c r="Q47" s="388"/>
      <c r="R47" s="303"/>
      <c r="S47" s="303"/>
      <c r="T47" s="312"/>
      <c r="U47" s="262"/>
      <c r="V47" s="262"/>
      <c r="W47" s="262"/>
      <c r="X47" s="296"/>
      <c r="Y47" s="422"/>
      <c r="Z47" s="228"/>
      <c r="AA47" s="17"/>
      <c r="AB47" s="213"/>
      <c r="AC47" s="213"/>
      <c r="AD47" s="213"/>
    </row>
    <row r="48" spans="1:30" ht="12" customHeight="1">
      <c r="A48" s="413"/>
      <c r="B48" s="381"/>
      <c r="C48" s="255"/>
      <c r="D48" s="381"/>
      <c r="E48" s="255"/>
      <c r="F48" s="61"/>
      <c r="G48" s="382" t="s">
        <v>606</v>
      </c>
      <c r="H48" s="236"/>
      <c r="I48" s="292"/>
      <c r="J48" s="61"/>
      <c r="K48" s="382" t="s">
        <v>606</v>
      </c>
      <c r="L48" s="236"/>
      <c r="M48" s="292"/>
      <c r="N48" s="70"/>
      <c r="O48" s="390" t="s">
        <v>642</v>
      </c>
      <c r="P48" s="292"/>
      <c r="Q48" s="62"/>
      <c r="R48" s="390" t="s">
        <v>607</v>
      </c>
      <c r="S48" s="236"/>
      <c r="T48" s="391"/>
      <c r="U48" s="255"/>
      <c r="V48" s="255"/>
      <c r="W48" s="255"/>
      <c r="X48" s="257"/>
      <c r="Y48" s="420" t="s">
        <v>657</v>
      </c>
      <c r="Z48" s="213"/>
      <c r="AA48" s="385"/>
      <c r="AB48" s="301"/>
      <c r="AC48" s="301"/>
      <c r="AD48" s="301"/>
    </row>
    <row r="49" spans="1:30" ht="12" customHeight="1">
      <c r="A49" s="252"/>
      <c r="B49" s="321"/>
      <c r="C49" s="234"/>
      <c r="D49" s="321"/>
      <c r="E49" s="234"/>
      <c r="F49" s="61"/>
      <c r="G49" s="383" t="s">
        <v>611</v>
      </c>
      <c r="H49" s="301"/>
      <c r="I49" s="384"/>
      <c r="J49" s="61"/>
      <c r="K49" s="383" t="s">
        <v>611</v>
      </c>
      <c r="L49" s="301"/>
      <c r="M49" s="384"/>
      <c r="N49" s="70"/>
      <c r="O49" s="385" t="s">
        <v>614</v>
      </c>
      <c r="P49" s="384"/>
      <c r="Q49" s="62"/>
      <c r="R49" s="385" t="s">
        <v>612</v>
      </c>
      <c r="S49" s="301"/>
      <c r="T49" s="321"/>
      <c r="U49" s="234"/>
      <c r="V49" s="234"/>
      <c r="W49" s="234"/>
      <c r="X49" s="258"/>
      <c r="Y49" s="421"/>
      <c r="Z49" s="213"/>
      <c r="AA49" s="233"/>
      <c r="AB49" s="234"/>
      <c r="AC49" s="234"/>
      <c r="AD49" s="234"/>
    </row>
    <row r="50" spans="1:30" ht="12" customHeight="1">
      <c r="A50" s="280"/>
      <c r="B50" s="312"/>
      <c r="C50" s="262"/>
      <c r="D50" s="312"/>
      <c r="E50" s="262"/>
      <c r="F50" s="194"/>
      <c r="G50" s="379" t="s">
        <v>612</v>
      </c>
      <c r="H50" s="303"/>
      <c r="I50" s="304"/>
      <c r="J50" s="194"/>
      <c r="K50" s="379" t="s">
        <v>612</v>
      </c>
      <c r="L50" s="303"/>
      <c r="M50" s="304"/>
      <c r="N50" s="218"/>
      <c r="O50" s="219"/>
      <c r="P50" s="220"/>
      <c r="Q50" s="388"/>
      <c r="R50" s="303"/>
      <c r="S50" s="303"/>
      <c r="T50" s="312"/>
      <c r="U50" s="262"/>
      <c r="V50" s="262"/>
      <c r="W50" s="262"/>
      <c r="X50" s="296"/>
      <c r="Y50" s="422"/>
      <c r="Z50" s="228"/>
      <c r="AA50" s="17"/>
      <c r="AB50" s="213"/>
      <c r="AC50" s="213"/>
      <c r="AD50" s="213"/>
    </row>
    <row r="51" spans="1:30" ht="12" customHeight="1">
      <c r="A51" s="413"/>
      <c r="B51" s="381"/>
      <c r="C51" s="255"/>
      <c r="D51" s="381"/>
      <c r="E51" s="255"/>
      <c r="F51" s="61"/>
      <c r="G51" s="382" t="s">
        <v>606</v>
      </c>
      <c r="H51" s="236"/>
      <c r="I51" s="292"/>
      <c r="J51" s="61"/>
      <c r="K51" s="382" t="s">
        <v>606</v>
      </c>
      <c r="L51" s="236"/>
      <c r="M51" s="292"/>
      <c r="N51" s="70"/>
      <c r="O51" s="390" t="s">
        <v>642</v>
      </c>
      <c r="P51" s="292"/>
      <c r="Q51" s="62"/>
      <c r="R51" s="390" t="s">
        <v>607</v>
      </c>
      <c r="S51" s="236"/>
      <c r="T51" s="391"/>
      <c r="U51" s="255"/>
      <c r="V51" s="255"/>
      <c r="W51" s="255"/>
      <c r="X51" s="257"/>
      <c r="Y51" s="420" t="s">
        <v>657</v>
      </c>
      <c r="Z51" s="213"/>
      <c r="AA51" s="385"/>
      <c r="AB51" s="301"/>
      <c r="AC51" s="301"/>
      <c r="AD51" s="301"/>
    </row>
    <row r="52" spans="1:30" ht="12" customHeight="1">
      <c r="A52" s="252"/>
      <c r="B52" s="321"/>
      <c r="C52" s="234"/>
      <c r="D52" s="321"/>
      <c r="E52" s="234"/>
      <c r="F52" s="61"/>
      <c r="G52" s="383" t="s">
        <v>611</v>
      </c>
      <c r="H52" s="301"/>
      <c r="I52" s="384"/>
      <c r="J52" s="61"/>
      <c r="K52" s="383" t="s">
        <v>611</v>
      </c>
      <c r="L52" s="301"/>
      <c r="M52" s="384"/>
      <c r="N52" s="70"/>
      <c r="O52" s="385" t="s">
        <v>614</v>
      </c>
      <c r="P52" s="384"/>
      <c r="Q52" s="62"/>
      <c r="R52" s="385" t="s">
        <v>612</v>
      </c>
      <c r="S52" s="301"/>
      <c r="T52" s="321"/>
      <c r="U52" s="234"/>
      <c r="V52" s="234"/>
      <c r="W52" s="234"/>
      <c r="X52" s="258"/>
      <c r="Y52" s="421"/>
      <c r="Z52" s="213"/>
      <c r="AA52" s="233"/>
      <c r="AB52" s="234"/>
      <c r="AC52" s="234"/>
      <c r="AD52" s="234"/>
    </row>
    <row r="53" spans="1:30" ht="12" customHeight="1">
      <c r="A53" s="253"/>
      <c r="B53" s="346"/>
      <c r="C53" s="347"/>
      <c r="D53" s="346"/>
      <c r="E53" s="347"/>
      <c r="F53" s="229"/>
      <c r="G53" s="424" t="s">
        <v>612</v>
      </c>
      <c r="H53" s="419"/>
      <c r="I53" s="425"/>
      <c r="J53" s="229"/>
      <c r="K53" s="424" t="s">
        <v>612</v>
      </c>
      <c r="L53" s="419"/>
      <c r="M53" s="425"/>
      <c r="N53" s="230"/>
      <c r="O53" s="231"/>
      <c r="P53" s="232"/>
      <c r="Q53" s="418"/>
      <c r="R53" s="419"/>
      <c r="S53" s="419"/>
      <c r="T53" s="346"/>
      <c r="U53" s="347"/>
      <c r="V53" s="347"/>
      <c r="W53" s="347"/>
      <c r="X53" s="348"/>
      <c r="Y53" s="423"/>
      <c r="Z53" s="228"/>
      <c r="AA53" s="17"/>
      <c r="AB53" s="213"/>
      <c r="AC53" s="213"/>
      <c r="AD53" s="213"/>
    </row>
  </sheetData>
  <mergeCells count="249">
    <mergeCell ref="Q22:S24"/>
    <mergeCell ref="T22:V24"/>
    <mergeCell ref="W22:Y24"/>
    <mergeCell ref="O23:P23"/>
    <mergeCell ref="O24:P24"/>
    <mergeCell ref="O25:P25"/>
    <mergeCell ref="Q25:S27"/>
    <mergeCell ref="T25:V27"/>
    <mergeCell ref="W25:Y27"/>
    <mergeCell ref="O26:P26"/>
    <mergeCell ref="O27:P27"/>
    <mergeCell ref="O22:P22"/>
    <mergeCell ref="Q28:S30"/>
    <mergeCell ref="T28:V30"/>
    <mergeCell ref="W28:Y30"/>
    <mergeCell ref="O30:P30"/>
    <mergeCell ref="Q34:S36"/>
    <mergeCell ref="T34:V36"/>
    <mergeCell ref="W34:Y36"/>
    <mergeCell ref="O35:P35"/>
    <mergeCell ref="O36:P36"/>
    <mergeCell ref="O29:P29"/>
    <mergeCell ref="Q31:S33"/>
    <mergeCell ref="T31:V33"/>
    <mergeCell ref="W31:Y33"/>
    <mergeCell ref="O32:P32"/>
    <mergeCell ref="O33:P33"/>
    <mergeCell ref="B40:L40"/>
    <mergeCell ref="M40:T40"/>
    <mergeCell ref="U40:Y40"/>
    <mergeCell ref="B41:L41"/>
    <mergeCell ref="M41:T41"/>
    <mergeCell ref="A42:Y42"/>
    <mergeCell ref="F43:S43"/>
    <mergeCell ref="A43:A44"/>
    <mergeCell ref="B43:E43"/>
    <mergeCell ref="U41:Y41"/>
    <mergeCell ref="T43:X44"/>
    <mergeCell ref="Y43:Y44"/>
    <mergeCell ref="AA43:AB44"/>
    <mergeCell ref="AC43:AD44"/>
    <mergeCell ref="AA45:AD45"/>
    <mergeCell ref="AA46:AD46"/>
    <mergeCell ref="B44:C44"/>
    <mergeCell ref="D44:E44"/>
    <mergeCell ref="F44:I44"/>
    <mergeCell ref="J44:M44"/>
    <mergeCell ref="N44:P44"/>
    <mergeCell ref="Q44:S44"/>
    <mergeCell ref="A45:A47"/>
    <mergeCell ref="A48:A50"/>
    <mergeCell ref="B48:C50"/>
    <mergeCell ref="D48:E50"/>
    <mergeCell ref="A51:A53"/>
    <mergeCell ref="B51:C53"/>
    <mergeCell ref="D51:E53"/>
    <mergeCell ref="G48:I48"/>
    <mergeCell ref="G49:I49"/>
    <mergeCell ref="G50:I50"/>
    <mergeCell ref="G51:I51"/>
    <mergeCell ref="G52:I52"/>
    <mergeCell ref="G53:I53"/>
    <mergeCell ref="B45:C47"/>
    <mergeCell ref="D45:E47"/>
    <mergeCell ref="G45:I45"/>
    <mergeCell ref="G46:I46"/>
    <mergeCell ref="G47:I47"/>
    <mergeCell ref="K52:M52"/>
    <mergeCell ref="K53:M53"/>
    <mergeCell ref="K45:M45"/>
    <mergeCell ref="K46:M46"/>
    <mergeCell ref="K47:M47"/>
    <mergeCell ref="K48:M48"/>
    <mergeCell ref="K49:M49"/>
    <mergeCell ref="K50:M50"/>
    <mergeCell ref="K51:M51"/>
    <mergeCell ref="O45:P45"/>
    <mergeCell ref="R45:S45"/>
    <mergeCell ref="T45:X47"/>
    <mergeCell ref="Y45:Y47"/>
    <mergeCell ref="O46:P46"/>
    <mergeCell ref="R46:S46"/>
    <mergeCell ref="Q47:S47"/>
    <mergeCell ref="T51:X53"/>
    <mergeCell ref="Y51:Y53"/>
    <mergeCell ref="AA51:AD51"/>
    <mergeCell ref="O52:P52"/>
    <mergeCell ref="R52:S52"/>
    <mergeCell ref="AA52:AD52"/>
    <mergeCell ref="Q53:S53"/>
    <mergeCell ref="O48:P48"/>
    <mergeCell ref="R48:S48"/>
    <mergeCell ref="T48:X50"/>
    <mergeCell ref="Y48:Y50"/>
    <mergeCell ref="O49:P49"/>
    <mergeCell ref="R49:S49"/>
    <mergeCell ref="Q50:S50"/>
    <mergeCell ref="R51:S51"/>
    <mergeCell ref="AA48:AD48"/>
    <mergeCell ref="AA49:AD49"/>
    <mergeCell ref="Q13:S15"/>
    <mergeCell ref="T13:V15"/>
    <mergeCell ref="W13:Y15"/>
    <mergeCell ref="K14:M14"/>
    <mergeCell ref="O15:P15"/>
    <mergeCell ref="G15:I15"/>
    <mergeCell ref="J15:M15"/>
    <mergeCell ref="O13:P13"/>
    <mergeCell ref="O14:P14"/>
    <mergeCell ref="G16:I16"/>
    <mergeCell ref="K16:M16"/>
    <mergeCell ref="K17:M17"/>
    <mergeCell ref="J18:M18"/>
    <mergeCell ref="G17:I17"/>
    <mergeCell ref="G18:I18"/>
    <mergeCell ref="G19:I19"/>
    <mergeCell ref="G20:I20"/>
    <mergeCell ref="G13:I13"/>
    <mergeCell ref="G14:I14"/>
    <mergeCell ref="K13:M13"/>
    <mergeCell ref="G21:I21"/>
    <mergeCell ref="G22:I22"/>
    <mergeCell ref="G23:I23"/>
    <mergeCell ref="K19:M19"/>
    <mergeCell ref="K20:M20"/>
    <mergeCell ref="J21:M21"/>
    <mergeCell ref="K22:M22"/>
    <mergeCell ref="K23:M23"/>
    <mergeCell ref="J24:M24"/>
    <mergeCell ref="K25:M25"/>
    <mergeCell ref="G24:I24"/>
    <mergeCell ref="G25:I25"/>
    <mergeCell ref="G26:I26"/>
    <mergeCell ref="G27:I27"/>
    <mergeCell ref="G28:I28"/>
    <mergeCell ref="G29:I29"/>
    <mergeCell ref="G30:I30"/>
    <mergeCell ref="O51:P51"/>
    <mergeCell ref="K31:M31"/>
    <mergeCell ref="K32:M32"/>
    <mergeCell ref="K26:M26"/>
    <mergeCell ref="J27:M27"/>
    <mergeCell ref="K28:M28"/>
    <mergeCell ref="O28:P28"/>
    <mergeCell ref="K29:M29"/>
    <mergeCell ref="J30:M30"/>
    <mergeCell ref="O31:P31"/>
    <mergeCell ref="K34:M34"/>
    <mergeCell ref="K35:M35"/>
    <mergeCell ref="G31:I31"/>
    <mergeCell ref="G32:I32"/>
    <mergeCell ref="G33:I33"/>
    <mergeCell ref="J33:M33"/>
    <mergeCell ref="K4:M4"/>
    <mergeCell ref="Q4:S6"/>
    <mergeCell ref="T4:V6"/>
    <mergeCell ref="W4:Y6"/>
    <mergeCell ref="K5:M5"/>
    <mergeCell ref="J9:M9"/>
    <mergeCell ref="O9:P9"/>
    <mergeCell ref="J6:M6"/>
    <mergeCell ref="O6:P6"/>
    <mergeCell ref="K7:M7"/>
    <mergeCell ref="Q7:S9"/>
    <mergeCell ref="T7:V9"/>
    <mergeCell ref="W7:Y9"/>
    <mergeCell ref="K8:M8"/>
    <mergeCell ref="O4:P4"/>
    <mergeCell ref="O5:P5"/>
    <mergeCell ref="O7:P7"/>
    <mergeCell ref="O8:P8"/>
    <mergeCell ref="AE3:AH3"/>
    <mergeCell ref="AI3:AL3"/>
    <mergeCell ref="AM3:AP3"/>
    <mergeCell ref="A1:Y1"/>
    <mergeCell ref="A2:A3"/>
    <mergeCell ref="F2:P2"/>
    <mergeCell ref="Q2:S3"/>
    <mergeCell ref="T2:V3"/>
    <mergeCell ref="W2:Y3"/>
    <mergeCell ref="AE2:AL2"/>
    <mergeCell ref="J3:M3"/>
    <mergeCell ref="N3:P3"/>
    <mergeCell ref="A7:A9"/>
    <mergeCell ref="B7:E9"/>
    <mergeCell ref="A10:A12"/>
    <mergeCell ref="B10:E12"/>
    <mergeCell ref="A13:A15"/>
    <mergeCell ref="B13:E15"/>
    <mergeCell ref="B2:E3"/>
    <mergeCell ref="F3:I3"/>
    <mergeCell ref="A4:A6"/>
    <mergeCell ref="B4:E6"/>
    <mergeCell ref="G4:I4"/>
    <mergeCell ref="G5:I5"/>
    <mergeCell ref="G6:I6"/>
    <mergeCell ref="G12:I12"/>
    <mergeCell ref="O10:P10"/>
    <mergeCell ref="Q10:S12"/>
    <mergeCell ref="T10:V12"/>
    <mergeCell ref="W10:Y12"/>
    <mergeCell ref="O11:P11"/>
    <mergeCell ref="O12:P12"/>
    <mergeCell ref="G7:I7"/>
    <mergeCell ref="G8:I8"/>
    <mergeCell ref="G9:I9"/>
    <mergeCell ref="G10:I10"/>
    <mergeCell ref="K10:M10"/>
    <mergeCell ref="G11:I11"/>
    <mergeCell ref="K11:M11"/>
    <mergeCell ref="J12:M12"/>
    <mergeCell ref="O16:P16"/>
    <mergeCell ref="Q16:S18"/>
    <mergeCell ref="T16:V18"/>
    <mergeCell ref="W16:Y18"/>
    <mergeCell ref="O17:P17"/>
    <mergeCell ref="O18:P18"/>
    <mergeCell ref="O19:P19"/>
    <mergeCell ref="T19:V21"/>
    <mergeCell ref="W19:Y21"/>
    <mergeCell ref="O20:P20"/>
    <mergeCell ref="O21:P21"/>
    <mergeCell ref="Q19:S21"/>
    <mergeCell ref="A28:A30"/>
    <mergeCell ref="B28:E30"/>
    <mergeCell ref="A31:A33"/>
    <mergeCell ref="B31:E33"/>
    <mergeCell ref="A34:A36"/>
    <mergeCell ref="B34:E36"/>
    <mergeCell ref="A16:A18"/>
    <mergeCell ref="A19:A21"/>
    <mergeCell ref="B19:E21"/>
    <mergeCell ref="A22:A24"/>
    <mergeCell ref="B22:E24"/>
    <mergeCell ref="A25:A27"/>
    <mergeCell ref="B25:E27"/>
    <mergeCell ref="B16:E18"/>
    <mergeCell ref="G34:I34"/>
    <mergeCell ref="O34:P34"/>
    <mergeCell ref="G35:I35"/>
    <mergeCell ref="M39:T39"/>
    <mergeCell ref="U39:Y39"/>
    <mergeCell ref="G36:I36"/>
    <mergeCell ref="J36:M36"/>
    <mergeCell ref="A37:Y37"/>
    <mergeCell ref="B38:L38"/>
    <mergeCell ref="M38:T38"/>
    <mergeCell ref="U38:Y38"/>
    <mergeCell ref="B39:L39"/>
  </mergeCells>
  <printOptions horizontalCentered="1" verticalCentered="1"/>
  <pageMargins left="0.2" right="0.2" top="0.2" bottom="0.2"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Hadapan</vt:lpstr>
      <vt:lpstr>B Verifikasi Kurikulum Bdg 1 da</vt:lpstr>
      <vt:lpstr>C Verifikasi Personel+JPS Bdg 4</vt:lpstr>
      <vt:lpstr>D Verifikasi FIZIKAL Bdg 5</vt:lpstr>
      <vt:lpstr>E COPTPA</vt:lpstr>
      <vt:lpstr>F Syor</vt:lpstr>
      <vt:lpstr>Komen</vt:lpstr>
      <vt:lpstr>Verifikasi Sykt &amp; SI</vt:lpstr>
      <vt:lpstr>Verifikasi SY &amp; SI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c:creator>
  <cp:lastModifiedBy>Nelson</cp:lastModifiedBy>
  <dcterms:created xsi:type="dcterms:W3CDTF">2016-11-16T16:07:00Z</dcterms:created>
  <dcterms:modified xsi:type="dcterms:W3CDTF">2026-01-14T08:57:57Z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1033-3.2.0.6370</vt:lpwstr>
  </property>
  <property fmtid="{D5CDD505-2E9C-101B-9397-08002B2CF9AE}" pid="3" name="ICV">
    <vt:lpwstr>CA7971A1EDFE4091875017F4235DF7D1</vt:lpwstr>
  </property>
</Properties>
</file>